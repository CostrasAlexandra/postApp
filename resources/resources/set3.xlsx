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a\PycharmProjects\appServer\resources\New folder\"/>
    </mc:Choice>
  </mc:AlternateContent>
  <xr:revisionPtr revIDLastSave="0" documentId="13_ncr:1_{9D0564CA-0487-4389-8C64-6947758DCB7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ri" sheetId="1" r:id="rId1"/>
  </sheets>
  <definedNames>
    <definedName name="_xlnm._FilterDatabase" localSheetId="0" hidden="1">Tari!$A$1:$AP$169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R3" i="1" l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2" i="1"/>
  <c r="I168" i="1" l="1"/>
  <c r="I166" i="1"/>
  <c r="AA165" i="1"/>
  <c r="I164" i="1"/>
  <c r="AA163" i="1"/>
  <c r="M163" i="1"/>
  <c r="I161" i="1"/>
  <c r="V148" i="1"/>
  <c r="I147" i="1"/>
  <c r="AH144" i="1"/>
  <c r="I144" i="1"/>
  <c r="AH143" i="1"/>
  <c r="AH142" i="1"/>
  <c r="AH141" i="1"/>
  <c r="AH140" i="1"/>
  <c r="AO134" i="1"/>
  <c r="AA133" i="1"/>
  <c r="AN131" i="1"/>
  <c r="I131" i="1"/>
  <c r="AH127" i="1"/>
  <c r="AG127" i="1"/>
  <c r="AH126" i="1"/>
  <c r="AG126" i="1"/>
  <c r="R126" i="1"/>
  <c r="Q126" i="1"/>
  <c r="Q125" i="1"/>
  <c r="AC124" i="1"/>
  <c r="AC123" i="1"/>
  <c r="AC122" i="1"/>
  <c r="AG121" i="1"/>
  <c r="Y120" i="1"/>
  <c r="AA102" i="1"/>
  <c r="P100" i="1"/>
  <c r="AD96" i="1"/>
  <c r="R96" i="1"/>
  <c r="R95" i="1"/>
  <c r="Q95" i="1"/>
  <c r="I95" i="1"/>
  <c r="R94" i="1"/>
  <c r="Q94" i="1"/>
  <c r="J94" i="1"/>
  <c r="I94" i="1"/>
  <c r="Q93" i="1"/>
  <c r="P93" i="1"/>
  <c r="J93" i="1"/>
  <c r="I93" i="1"/>
  <c r="P86" i="1"/>
  <c r="X85" i="1"/>
  <c r="X84" i="1"/>
  <c r="X83" i="1"/>
  <c r="AA80" i="1"/>
  <c r="X80" i="1"/>
  <c r="X79" i="1"/>
  <c r="AA78" i="1"/>
  <c r="X78" i="1"/>
  <c r="AA77" i="1"/>
  <c r="X77" i="1"/>
  <c r="V68" i="1"/>
  <c r="J68" i="1"/>
  <c r="Q65" i="1"/>
  <c r="AL61" i="1"/>
  <c r="AK61" i="1"/>
  <c r="AA61" i="1"/>
  <c r="Z61" i="1"/>
  <c r="X61" i="1"/>
  <c r="W61" i="1"/>
  <c r="I57" i="1"/>
  <c r="AA56" i="1"/>
  <c r="AA55" i="1"/>
  <c r="AA54" i="1"/>
  <c r="AA53" i="1"/>
  <c r="AA52" i="1"/>
  <c r="V52" i="1"/>
  <c r="AA51" i="1"/>
  <c r="AN42" i="1"/>
  <c r="AN41" i="1"/>
  <c r="H35" i="1"/>
  <c r="F35" i="1"/>
  <c r="AA31" i="1"/>
  <c r="AA30" i="1"/>
  <c r="AA40" i="1" s="1"/>
  <c r="AO25" i="1"/>
  <c r="I22" i="1"/>
  <c r="V15" i="1"/>
  <c r="AH12" i="1"/>
  <c r="AG12" i="1"/>
  <c r="AH11" i="1"/>
  <c r="AG11" i="1"/>
  <c r="I11" i="1"/>
  <c r="AH10" i="1"/>
  <c r="AG10" i="1"/>
  <c r="I10" i="1"/>
  <c r="AH9" i="1"/>
  <c r="AG9" i="1"/>
  <c r="AH8" i="1"/>
  <c r="AG8" i="1"/>
  <c r="I7" i="1"/>
  <c r="I6" i="1"/>
  <c r="R3" i="1"/>
  <c r="AA2" i="1"/>
</calcChain>
</file>

<file path=xl/sharedStrings.xml><?xml version="1.0" encoding="utf-8"?>
<sst xmlns="http://schemas.openxmlformats.org/spreadsheetml/2006/main" count="211" uniqueCount="63">
  <si>
    <t>Year</t>
  </si>
  <si>
    <t>Country</t>
  </si>
  <si>
    <t xml:space="preserve">1.1 Area of territory (km²)     </t>
  </si>
  <si>
    <t xml:space="preserve">1.2 Population (millions)       </t>
  </si>
  <si>
    <t xml:space="preserve">1.5 Rate of exchange (national currency for one SDR)    </t>
  </si>
  <si>
    <t xml:space="preserve">3.1 Total number of staff       </t>
  </si>
  <si>
    <t xml:space="preserve">3.2 Number of full-time staff   </t>
  </si>
  <si>
    <t xml:space="preserve">3.3 Number of part-time staff   </t>
  </si>
  <si>
    <t xml:space="preserve">3.4 Number of posts (in full-time equivalent)   </t>
  </si>
  <si>
    <t xml:space="preserve">3.5 Female employees as a percentage of total staff     </t>
  </si>
  <si>
    <t xml:space="preserve">4.1 Total number of permanent post offices      </t>
  </si>
  <si>
    <t xml:space="preserve">4.2 Number of permanent offices staffed by administration officials     </t>
  </si>
  <si>
    <t xml:space="preserve">4.3 Number of permanent offices staffed by people from outside the administration       </t>
  </si>
  <si>
    <t xml:space="preserve">4.4 Average area covered by a permanent office (km²)    </t>
  </si>
  <si>
    <t xml:space="preserve">4.5 Average number of inhabitants served by a permanent office  </t>
  </si>
  <si>
    <t xml:space="preserve">4.6 Number of mobile post offices (including rural delivery staff)      </t>
  </si>
  <si>
    <t xml:space="preserve">4.7 Number of post offices (permanent and mobile) accepting financial transactions      </t>
  </si>
  <si>
    <t xml:space="preserve">4.8 Number of sorting centres   </t>
  </si>
  <si>
    <t xml:space="preserve">5.1 Operating revenue (SDR)     </t>
  </si>
  <si>
    <t xml:space="preserve">5.2 Operating expenditure (SDR) </t>
  </si>
  <si>
    <t xml:space="preserve">5.3 Operating result (SDR)      </t>
  </si>
  <si>
    <t xml:space="preserve">5.4 Net result (SDR)    </t>
  </si>
  <si>
    <t xml:space="preserve">6.1 Percentage of income linked to letter post  </t>
  </si>
  <si>
    <t xml:space="preserve">6.2 Percentage of income linked to parcels and logistics services       </t>
  </si>
  <si>
    <t xml:space="preserve">6.3 Percentage of income linked to postal financial services    </t>
  </si>
  <si>
    <t xml:space="preserve">6.4 Percentage of income linked to other products       </t>
  </si>
  <si>
    <t xml:space="preserve">6.5 Income from philately as a percentage of total income       </t>
  </si>
  <si>
    <t xml:space="preserve">7.1 Average number of collections from boxes per working day in urban areas     </t>
  </si>
  <si>
    <t xml:space="preserve">7.2 Average number of collections from boxes per week in rural areas    </t>
  </si>
  <si>
    <t xml:space="preserve">7.3 Number of letter-boxes      </t>
  </si>
  <si>
    <t xml:space="preserve">8.1 Average number of deliveries per working day in urban areas </t>
  </si>
  <si>
    <t xml:space="preserve">8.2 Average number of deliveries per week in rural areas        </t>
  </si>
  <si>
    <t xml:space="preserve">8.5 Percentage of the population having mail delivered at home  </t>
  </si>
  <si>
    <t xml:space="preserve">8.6 Percentage of the population having to collect mail from a postal establishment     </t>
  </si>
  <si>
    <t xml:space="preserve">8.7 Percentage of the population without postal services        </t>
  </si>
  <si>
    <t xml:space="preserve">9.2 Number of letter-post items, domestic service       </t>
  </si>
  <si>
    <t xml:space="preserve">9.3 Number of letter-post items, international service - dispatch       </t>
  </si>
  <si>
    <t xml:space="preserve">9.4 Number of letter-post items, international service - receipt        </t>
  </si>
  <si>
    <t xml:space="preserve">9.6 Total number of advertising items, domestic service </t>
  </si>
  <si>
    <t xml:space="preserve">9.8 Number of unaddressed advertising items, domestic service   </t>
  </si>
  <si>
    <t xml:space="preserve">10.4 Number of parcels, domestic service        </t>
  </si>
  <si>
    <t xml:space="preserve">Bulgaria (Rep.) </t>
  </si>
  <si>
    <t xml:space="preserve">Croatia </t>
  </si>
  <si>
    <t xml:space="preserve">Cyprus  </t>
  </si>
  <si>
    <t xml:space="preserve">Czech Rep.      </t>
  </si>
  <si>
    <t xml:space="preserve">Estonia </t>
  </si>
  <si>
    <t xml:space="preserve">Finland </t>
  </si>
  <si>
    <t xml:space="preserve">Greece  </t>
  </si>
  <si>
    <t xml:space="preserve">Hungary </t>
  </si>
  <si>
    <t xml:space="preserve">Ireland </t>
  </si>
  <si>
    <t xml:space="preserve">Italy   </t>
  </si>
  <si>
    <t xml:space="preserve">Latvia  </t>
  </si>
  <si>
    <t xml:space="preserve">Lithuania       </t>
  </si>
  <si>
    <t xml:space="preserve">Luxembourg      </t>
  </si>
  <si>
    <t xml:space="preserve">Malta   </t>
  </si>
  <si>
    <t xml:space="preserve">Poland  </t>
  </si>
  <si>
    <t xml:space="preserve">Portugal        </t>
  </si>
  <si>
    <t xml:space="preserve">Romania </t>
  </si>
  <si>
    <t xml:space="preserve">Slovakia        </t>
  </si>
  <si>
    <t xml:space="preserve">Slovenia        </t>
  </si>
  <si>
    <t xml:space="preserve">Spain   </t>
  </si>
  <si>
    <t>Turnover</t>
  </si>
  <si>
    <t>Clasification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</si>
</sst>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69"/>
  <sheetViews>
    <sheetView tabSelected="1" zoomScale="74" zoomScaleNormal="88" workbookViewId="0">
      <pane xSplit="2" topLeftCell="AH1" activePane="topRight" state="frozen"/>
      <selection pane="topRight" activeCell="AQ1" sqref="AQ1:AQ1048576"/>
    </sheetView>
  </sheetViews>
  <sheetFormatPr defaultRowHeight="14.4" x14ac:dyDescent="0.3"/>
  <cols>
    <col min="3" max="5" width="9" bestFit="1" customWidth="1"/>
    <col min="6" max="7" width="9.5546875" bestFit="1" customWidth="1"/>
    <col min="8" max="8" width="9.109375" bestFit="1" customWidth="1"/>
    <col min="9" max="9" width="12.109375" bestFit="1" customWidth="1"/>
    <col min="10" max="10" width="9.109375" bestFit="1" customWidth="1"/>
    <col min="11" max="11" width="25.33203125" customWidth="1"/>
    <col min="12" max="13" width="9.109375" bestFit="1" customWidth="1"/>
    <col min="14" max="14" width="10.77734375" bestFit="1" customWidth="1"/>
    <col min="15" max="15" width="12.6640625" bestFit="1" customWidth="1"/>
    <col min="16" max="16" width="9.109375" bestFit="1" customWidth="1"/>
    <col min="17" max="17" width="9.5546875" bestFit="1" customWidth="1"/>
    <col min="18" max="18" width="9.109375" bestFit="1" customWidth="1"/>
    <col min="19" max="19" width="26.6640625" customWidth="1"/>
    <col min="20" max="20" width="19.33203125" customWidth="1"/>
    <col min="21" max="21" width="21.21875" customWidth="1"/>
    <col min="22" max="22" width="24.88671875" customWidth="1"/>
    <col min="23" max="29" width="9.33203125" bestFit="1" customWidth="1"/>
    <col min="30" max="30" width="10.88671875" bestFit="1" customWidth="1"/>
    <col min="31" max="33" width="9.33203125" bestFit="1" customWidth="1"/>
    <col min="34" max="34" width="9.33203125" customWidth="1"/>
    <col min="35" max="35" width="9.33203125" bestFit="1" customWidth="1"/>
    <col min="36" max="36" width="18.109375" bestFit="1" customWidth="1"/>
    <col min="37" max="38" width="15.33203125" bestFit="1" customWidth="1"/>
    <col min="39" max="39" width="18.21875" bestFit="1" customWidth="1"/>
    <col min="40" max="40" width="16.77734375" bestFit="1" customWidth="1"/>
    <col min="41" max="41" width="13.5546875" bestFit="1" customWidth="1"/>
    <col min="42" max="42" width="41" customWidth="1"/>
    <col min="43" max="43" width="17.33203125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61</v>
      </c>
      <c r="AQ1" t="s">
        <v>62</v>
      </c>
    </row>
    <row r="2" spans="1:44" x14ac:dyDescent="0.3">
      <c r="A2">
        <v>2004</v>
      </c>
      <c r="B2" t="s">
        <v>41</v>
      </c>
      <c r="C2">
        <v>110912</v>
      </c>
      <c r="D2">
        <v>7.79500007629394</v>
      </c>
      <c r="E2">
        <v>2.2300000190734801</v>
      </c>
      <c r="F2">
        <v>14851</v>
      </c>
      <c r="G2">
        <v>9909</v>
      </c>
      <c r="H2">
        <v>4942</v>
      </c>
      <c r="I2">
        <v>12954</v>
      </c>
      <c r="J2">
        <v>78</v>
      </c>
      <c r="K2">
        <v>3008</v>
      </c>
      <c r="L2">
        <v>3008</v>
      </c>
      <c r="M2">
        <v>0</v>
      </c>
      <c r="N2">
        <v>36.872001647949197</v>
      </c>
      <c r="O2" s="1">
        <v>2591369</v>
      </c>
      <c r="P2">
        <v>555</v>
      </c>
      <c r="Q2">
        <v>3008</v>
      </c>
      <c r="R2">
        <v>11</v>
      </c>
      <c r="S2" s="2">
        <v>52256502.241999999</v>
      </c>
      <c r="T2" s="2">
        <v>48067264.574000001</v>
      </c>
      <c r="U2" s="2">
        <v>4189237.6680000001</v>
      </c>
      <c r="V2">
        <v>3227354.25</v>
      </c>
      <c r="W2">
        <v>31</v>
      </c>
      <c r="X2">
        <v>3</v>
      </c>
      <c r="Y2">
        <v>4</v>
      </c>
      <c r="Z2">
        <v>62</v>
      </c>
      <c r="AA2">
        <f>AVERAGE(AA3:AA14)</f>
        <v>4.2858332693576759</v>
      </c>
      <c r="AB2">
        <v>1</v>
      </c>
      <c r="AC2">
        <v>5</v>
      </c>
      <c r="AD2">
        <v>5347</v>
      </c>
      <c r="AE2">
        <v>1</v>
      </c>
      <c r="AF2">
        <v>5</v>
      </c>
      <c r="AG2">
        <v>90</v>
      </c>
      <c r="AH2">
        <v>10</v>
      </c>
      <c r="AI2">
        <v>0</v>
      </c>
      <c r="AJ2">
        <v>66773900</v>
      </c>
      <c r="AK2">
        <v>4826726</v>
      </c>
      <c r="AL2">
        <v>4422722</v>
      </c>
      <c r="AM2">
        <v>3474809</v>
      </c>
      <c r="AN2">
        <v>2263899</v>
      </c>
      <c r="AO2">
        <v>559524</v>
      </c>
      <c r="AP2">
        <v>28.9</v>
      </c>
      <c r="AQ2">
        <v>0</v>
      </c>
      <c r="AR2">
        <f>(AP2/D2)*1000</f>
        <v>3707.5047744887561</v>
      </c>
    </row>
    <row r="3" spans="1:44" x14ac:dyDescent="0.3">
      <c r="A3">
        <v>2006</v>
      </c>
      <c r="B3" t="s">
        <v>41</v>
      </c>
      <c r="C3">
        <v>110912</v>
      </c>
      <c r="D3">
        <v>7.6929998397827104</v>
      </c>
      <c r="E3">
        <v>2.2339999675750701</v>
      </c>
      <c r="F3">
        <v>14768</v>
      </c>
      <c r="G3">
        <v>10196</v>
      </c>
      <c r="H3">
        <v>4572</v>
      </c>
      <c r="I3">
        <v>12997</v>
      </c>
      <c r="J3">
        <v>79.300003051757798</v>
      </c>
      <c r="K3">
        <v>2986</v>
      </c>
      <c r="L3">
        <v>2986</v>
      </c>
      <c r="M3">
        <v>0</v>
      </c>
      <c r="N3">
        <v>37.14400100708</v>
      </c>
      <c r="O3" s="1">
        <v>2576204</v>
      </c>
      <c r="P3">
        <v>939</v>
      </c>
      <c r="Q3">
        <v>2986</v>
      </c>
      <c r="R3">
        <f>AVERAGE(R2,R4:R14)</f>
        <v>24.25</v>
      </c>
      <c r="S3" s="2">
        <v>62428914.152999997</v>
      </c>
      <c r="T3" s="2">
        <v>57455831.618000001</v>
      </c>
      <c r="U3" s="2">
        <v>4973082.5350000001</v>
      </c>
      <c r="V3" s="2">
        <v>4059421.2689999999</v>
      </c>
      <c r="W3">
        <v>30.579999923706001</v>
      </c>
      <c r="X3">
        <v>5.5700001716613698</v>
      </c>
      <c r="Y3">
        <v>3.3399999141693102</v>
      </c>
      <c r="Z3">
        <v>60.509998321533203</v>
      </c>
      <c r="AA3">
        <v>1.7300000190734801</v>
      </c>
      <c r="AB3">
        <v>1</v>
      </c>
      <c r="AC3">
        <v>5</v>
      </c>
      <c r="AD3">
        <v>5391</v>
      </c>
      <c r="AE3">
        <v>1</v>
      </c>
      <c r="AF3">
        <v>5</v>
      </c>
      <c r="AG3">
        <v>90</v>
      </c>
      <c r="AH3">
        <v>10</v>
      </c>
      <c r="AI3">
        <v>0</v>
      </c>
      <c r="AJ3">
        <v>56349528</v>
      </c>
      <c r="AK3">
        <v>3453750</v>
      </c>
      <c r="AL3">
        <v>3902945</v>
      </c>
      <c r="AM3">
        <v>10900459</v>
      </c>
      <c r="AN3">
        <v>8759806</v>
      </c>
      <c r="AO3">
        <v>672815</v>
      </c>
      <c r="AP3">
        <v>25.2</v>
      </c>
      <c r="AQ3">
        <v>0</v>
      </c>
      <c r="AR3">
        <f t="shared" ref="AR3:AR66" si="0">(AP3/D3)*1000</f>
        <v>3275.7052547542721</v>
      </c>
    </row>
    <row r="4" spans="1:44" x14ac:dyDescent="0.3">
      <c r="A4">
        <v>2007</v>
      </c>
      <c r="B4" t="s">
        <v>41</v>
      </c>
      <c r="C4">
        <v>110912</v>
      </c>
      <c r="D4">
        <v>7.6399998664855904</v>
      </c>
      <c r="E4">
        <v>2.1040000915527299</v>
      </c>
      <c r="F4">
        <v>14468</v>
      </c>
      <c r="G4">
        <v>9946</v>
      </c>
      <c r="H4">
        <v>4522</v>
      </c>
      <c r="I4">
        <v>12826</v>
      </c>
      <c r="J4">
        <v>80</v>
      </c>
      <c r="K4">
        <v>2987</v>
      </c>
      <c r="L4">
        <v>2987</v>
      </c>
      <c r="M4">
        <v>0</v>
      </c>
      <c r="N4">
        <v>37.131999969482401</v>
      </c>
      <c r="O4" s="1">
        <v>2557845</v>
      </c>
      <c r="P4">
        <v>963</v>
      </c>
      <c r="Q4">
        <v>2987</v>
      </c>
      <c r="R4">
        <v>27</v>
      </c>
      <c r="S4" s="2">
        <v>73797302.244000003</v>
      </c>
      <c r="T4">
        <v>68311472</v>
      </c>
      <c r="U4" s="2">
        <v>5485833.3339999998</v>
      </c>
      <c r="V4">
        <v>5019126.5</v>
      </c>
      <c r="W4">
        <v>38.069999694824197</v>
      </c>
      <c r="X4">
        <v>5.75</v>
      </c>
      <c r="Y4">
        <v>3.6900000572204501</v>
      </c>
      <c r="Z4">
        <v>52.490001678466697</v>
      </c>
      <c r="AA4">
        <v>7.96000003814697</v>
      </c>
      <c r="AB4">
        <v>1</v>
      </c>
      <c r="AC4">
        <v>5</v>
      </c>
      <c r="AD4">
        <v>5332</v>
      </c>
      <c r="AE4">
        <v>1</v>
      </c>
      <c r="AF4">
        <v>5</v>
      </c>
      <c r="AG4">
        <v>90</v>
      </c>
      <c r="AH4">
        <v>10</v>
      </c>
      <c r="AI4">
        <v>0</v>
      </c>
      <c r="AJ4">
        <v>57553728</v>
      </c>
      <c r="AK4">
        <v>3266486</v>
      </c>
      <c r="AL4">
        <v>4104425</v>
      </c>
      <c r="AM4">
        <v>16279979</v>
      </c>
      <c r="AN4">
        <v>8118753</v>
      </c>
      <c r="AO4">
        <v>920605</v>
      </c>
      <c r="AP4">
        <v>26.7</v>
      </c>
      <c r="AQ4">
        <v>2</v>
      </c>
      <c r="AR4">
        <f t="shared" si="0"/>
        <v>3494.7644589792426</v>
      </c>
    </row>
    <row r="5" spans="1:44" x14ac:dyDescent="0.3">
      <c r="A5">
        <v>2008</v>
      </c>
      <c r="B5" t="s">
        <v>41</v>
      </c>
      <c r="C5">
        <v>110912</v>
      </c>
      <c r="D5">
        <v>7.5910000801086399</v>
      </c>
      <c r="E5">
        <v>2.1370000839233301</v>
      </c>
      <c r="F5">
        <v>14293</v>
      </c>
      <c r="G5">
        <v>10275</v>
      </c>
      <c r="H5">
        <v>4018</v>
      </c>
      <c r="I5">
        <v>12750</v>
      </c>
      <c r="J5">
        <v>81</v>
      </c>
      <c r="K5">
        <v>2981</v>
      </c>
      <c r="L5">
        <v>2981</v>
      </c>
      <c r="M5">
        <v>0</v>
      </c>
      <c r="N5">
        <v>37.206001281738203</v>
      </c>
      <c r="O5" s="1">
        <v>2546569</v>
      </c>
      <c r="P5">
        <v>2417</v>
      </c>
      <c r="Q5">
        <v>2981</v>
      </c>
      <c r="R5">
        <v>27</v>
      </c>
      <c r="S5" s="2">
        <v>78871180.158999994</v>
      </c>
      <c r="T5" s="2">
        <v>77336128.216999993</v>
      </c>
      <c r="U5" s="2">
        <v>1535051.942</v>
      </c>
      <c r="V5" s="2">
        <v>1422272.344</v>
      </c>
      <c r="W5">
        <v>32.200000762939403</v>
      </c>
      <c r="X5">
        <v>4.0999999046325604</v>
      </c>
      <c r="Y5">
        <v>4.3000001907348597</v>
      </c>
      <c r="Z5">
        <v>59.400001525878899</v>
      </c>
      <c r="AA5">
        <v>6.7399997711181596</v>
      </c>
      <c r="AB5">
        <v>1</v>
      </c>
      <c r="AC5">
        <v>5</v>
      </c>
      <c r="AD5">
        <v>5286</v>
      </c>
      <c r="AE5">
        <v>1</v>
      </c>
      <c r="AF5">
        <v>5</v>
      </c>
      <c r="AG5">
        <v>90</v>
      </c>
      <c r="AH5">
        <v>10</v>
      </c>
      <c r="AI5">
        <v>0</v>
      </c>
      <c r="AJ5">
        <v>49240692</v>
      </c>
      <c r="AK5">
        <v>2963231</v>
      </c>
      <c r="AL5">
        <v>4036324</v>
      </c>
      <c r="AM5">
        <v>27262010</v>
      </c>
      <c r="AN5">
        <v>11319316</v>
      </c>
      <c r="AO5">
        <v>614103</v>
      </c>
      <c r="AP5">
        <v>29.7</v>
      </c>
      <c r="AQ5">
        <v>2</v>
      </c>
      <c r="AR5">
        <f t="shared" si="0"/>
        <v>3912.5279523873937</v>
      </c>
    </row>
    <row r="6" spans="1:44" x14ac:dyDescent="0.3">
      <c r="A6">
        <v>2009</v>
      </c>
      <c r="B6" t="s">
        <v>41</v>
      </c>
      <c r="C6">
        <v>110912</v>
      </c>
      <c r="D6">
        <v>7.5430002212524396</v>
      </c>
      <c r="E6">
        <v>2.1389999389648402</v>
      </c>
      <c r="F6">
        <v>13733</v>
      </c>
      <c r="G6">
        <v>9994</v>
      </c>
      <c r="H6">
        <v>3739</v>
      </c>
      <c r="I6">
        <f>AVERAGE(I2:I5,I8:I9,I12:I14)</f>
        <v>11142.111111111111</v>
      </c>
      <c r="J6">
        <v>80</v>
      </c>
      <c r="K6">
        <v>2981</v>
      </c>
      <c r="L6">
        <v>2981</v>
      </c>
      <c r="M6">
        <v>0</v>
      </c>
      <c r="N6">
        <v>37.206001281738203</v>
      </c>
      <c r="O6">
        <v>2530.25</v>
      </c>
      <c r="P6">
        <v>1584</v>
      </c>
      <c r="Q6">
        <v>2981</v>
      </c>
      <c r="R6">
        <v>27</v>
      </c>
      <c r="S6" s="2">
        <v>76095851.297999993</v>
      </c>
      <c r="T6" s="2">
        <v>77604487.256999999</v>
      </c>
      <c r="U6" s="2">
        <v>-1508635.959</v>
      </c>
      <c r="V6" s="2">
        <v>-1343567.4539999999</v>
      </c>
      <c r="W6">
        <v>40</v>
      </c>
      <c r="X6">
        <v>8</v>
      </c>
      <c r="Y6">
        <v>4</v>
      </c>
      <c r="Z6">
        <v>48</v>
      </c>
      <c r="AA6">
        <v>3</v>
      </c>
      <c r="AB6">
        <v>1</v>
      </c>
      <c r="AC6">
        <v>5</v>
      </c>
      <c r="AD6">
        <v>5185</v>
      </c>
      <c r="AE6">
        <v>1</v>
      </c>
      <c r="AF6">
        <v>5</v>
      </c>
      <c r="AG6">
        <v>90</v>
      </c>
      <c r="AH6">
        <v>10</v>
      </c>
      <c r="AI6">
        <v>0</v>
      </c>
      <c r="AJ6">
        <v>33067676</v>
      </c>
      <c r="AK6">
        <v>2961327</v>
      </c>
      <c r="AL6">
        <v>4036324</v>
      </c>
      <c r="AM6">
        <v>36170828</v>
      </c>
      <c r="AN6">
        <v>19958982</v>
      </c>
      <c r="AO6">
        <v>508087</v>
      </c>
      <c r="AP6">
        <v>30.2</v>
      </c>
      <c r="AQ6">
        <v>2</v>
      </c>
      <c r="AR6">
        <f t="shared" si="0"/>
        <v>4003.7119334706308</v>
      </c>
    </row>
    <row r="7" spans="1:44" x14ac:dyDescent="0.3">
      <c r="A7">
        <v>2010</v>
      </c>
      <c r="B7" t="s">
        <v>41</v>
      </c>
      <c r="C7">
        <v>110912</v>
      </c>
      <c r="D7">
        <v>7.4939999580383301</v>
      </c>
      <c r="E7">
        <v>2.2679998874664302</v>
      </c>
      <c r="F7">
        <v>13135</v>
      </c>
      <c r="G7">
        <v>9015</v>
      </c>
      <c r="H7">
        <v>4120</v>
      </c>
      <c r="I7">
        <f>AVERAGE(I2:I6,I8:I9,I12:I14)</f>
        <v>11142.111111111111</v>
      </c>
      <c r="J7">
        <v>81</v>
      </c>
      <c r="K7">
        <v>2981</v>
      </c>
      <c r="L7">
        <v>2981</v>
      </c>
      <c r="M7">
        <v>0</v>
      </c>
      <c r="N7">
        <v>37.206001281738203</v>
      </c>
      <c r="O7" s="1">
        <v>2514033</v>
      </c>
      <c r="P7">
        <v>1526</v>
      </c>
      <c r="Q7">
        <v>2981</v>
      </c>
      <c r="R7">
        <v>27</v>
      </c>
      <c r="S7">
        <v>64336860</v>
      </c>
      <c r="T7">
        <v>63553352</v>
      </c>
      <c r="U7">
        <v>783509.6875</v>
      </c>
      <c r="V7">
        <v>196649.03125</v>
      </c>
      <c r="W7">
        <v>31.799999237060501</v>
      </c>
      <c r="X7">
        <v>5.8000001907348597</v>
      </c>
      <c r="Y7">
        <v>4.3000001907348597</v>
      </c>
      <c r="Z7">
        <v>58.099998474121001</v>
      </c>
      <c r="AA7">
        <v>5.6999998092651296</v>
      </c>
      <c r="AB7">
        <v>1</v>
      </c>
      <c r="AC7">
        <v>5</v>
      </c>
      <c r="AD7">
        <v>5153</v>
      </c>
      <c r="AE7">
        <v>1</v>
      </c>
      <c r="AF7">
        <v>5</v>
      </c>
      <c r="AG7">
        <v>90</v>
      </c>
      <c r="AH7">
        <v>10</v>
      </c>
      <c r="AI7">
        <v>0</v>
      </c>
      <c r="AJ7">
        <v>23698928</v>
      </c>
      <c r="AK7">
        <v>2386242</v>
      </c>
      <c r="AL7">
        <v>3421047</v>
      </c>
      <c r="AM7">
        <v>94795952</v>
      </c>
      <c r="AN7">
        <v>80172744</v>
      </c>
      <c r="AO7">
        <v>397275</v>
      </c>
      <c r="AP7">
        <v>21.7</v>
      </c>
      <c r="AQ7">
        <v>3</v>
      </c>
      <c r="AR7">
        <f t="shared" si="0"/>
        <v>2895.6498694297179</v>
      </c>
    </row>
    <row r="8" spans="1:44" x14ac:dyDescent="0.3">
      <c r="A8">
        <v>2011</v>
      </c>
      <c r="B8" t="s">
        <v>41</v>
      </c>
      <c r="C8">
        <v>110912</v>
      </c>
      <c r="D8">
        <v>7.44600009918212</v>
      </c>
      <c r="E8">
        <v>2.32100009918212</v>
      </c>
      <c r="F8">
        <v>12485</v>
      </c>
      <c r="G8">
        <v>8689</v>
      </c>
      <c r="H8">
        <v>3796</v>
      </c>
      <c r="I8">
        <v>10956</v>
      </c>
      <c r="J8">
        <v>82</v>
      </c>
      <c r="K8">
        <v>2981</v>
      </c>
      <c r="L8">
        <v>2981</v>
      </c>
      <c r="M8">
        <v>0</v>
      </c>
      <c r="N8">
        <v>37.206001281738203</v>
      </c>
      <c r="O8" s="1">
        <v>2497865</v>
      </c>
      <c r="P8">
        <v>1811</v>
      </c>
      <c r="Q8">
        <v>2981</v>
      </c>
      <c r="R8">
        <v>27</v>
      </c>
      <c r="S8">
        <v>60315296</v>
      </c>
      <c r="T8" s="2">
        <v>63130866.005999997</v>
      </c>
      <c r="U8" s="2">
        <v>-2815571.736</v>
      </c>
      <c r="V8" s="2">
        <v>-3969062.0419999999</v>
      </c>
      <c r="W8">
        <v>24.5</v>
      </c>
      <c r="X8">
        <v>6.1999998092651296</v>
      </c>
      <c r="Y8">
        <v>4.5999999046325604</v>
      </c>
      <c r="Z8">
        <v>64.699996948242102</v>
      </c>
      <c r="AA8">
        <v>5.5999999046325604</v>
      </c>
      <c r="AB8">
        <v>1</v>
      </c>
      <c r="AC8">
        <v>5</v>
      </c>
      <c r="AD8">
        <v>4902</v>
      </c>
      <c r="AE8">
        <v>1</v>
      </c>
      <c r="AF8">
        <v>5</v>
      </c>
      <c r="AG8">
        <f>AVERAGE(AG2:AG7,AG13:AG14)</f>
        <v>90.875</v>
      </c>
      <c r="AH8">
        <f>AVERAGE(AH2:AH7,AH13:AH14)</f>
        <v>9.125</v>
      </c>
      <c r="AI8">
        <v>0</v>
      </c>
      <c r="AJ8">
        <v>19159656</v>
      </c>
      <c r="AK8">
        <v>2515522</v>
      </c>
      <c r="AL8">
        <v>3117474</v>
      </c>
      <c r="AM8">
        <v>104287056</v>
      </c>
      <c r="AN8">
        <v>95036064</v>
      </c>
      <c r="AO8">
        <v>335775</v>
      </c>
      <c r="AP8">
        <v>17.5</v>
      </c>
      <c r="AQ8">
        <v>3</v>
      </c>
      <c r="AR8">
        <f t="shared" si="0"/>
        <v>2350.2551392555347</v>
      </c>
    </row>
    <row r="9" spans="1:44" x14ac:dyDescent="0.3">
      <c r="A9">
        <v>2012</v>
      </c>
      <c r="B9" t="s">
        <v>41</v>
      </c>
      <c r="C9">
        <v>110912</v>
      </c>
      <c r="D9">
        <v>7.3979997634887598</v>
      </c>
      <c r="E9">
        <v>2.2799999713897701</v>
      </c>
      <c r="F9">
        <v>11348</v>
      </c>
      <c r="G9">
        <v>8086</v>
      </c>
      <c r="H9">
        <v>3262</v>
      </c>
      <c r="I9">
        <v>9717</v>
      </c>
      <c r="J9">
        <v>82</v>
      </c>
      <c r="K9">
        <v>2981</v>
      </c>
      <c r="L9">
        <v>2981</v>
      </c>
      <c r="M9">
        <v>0</v>
      </c>
      <c r="N9">
        <v>37.206001281738203</v>
      </c>
      <c r="O9" s="1">
        <v>2481675</v>
      </c>
      <c r="P9">
        <v>1811</v>
      </c>
      <c r="Q9">
        <v>2981</v>
      </c>
      <c r="R9">
        <v>27</v>
      </c>
      <c r="S9" s="2">
        <v>57356265.788999997</v>
      </c>
      <c r="T9" s="2">
        <v>61541531.579000004</v>
      </c>
      <c r="U9">
        <v>-4185265.75</v>
      </c>
      <c r="V9" s="2">
        <v>-4996021.0530000003</v>
      </c>
      <c r="W9">
        <v>30.5</v>
      </c>
      <c r="X9">
        <v>6.9000000953674299</v>
      </c>
      <c r="Y9">
        <v>4.8000001907348597</v>
      </c>
      <c r="Z9">
        <v>57.799999237060497</v>
      </c>
      <c r="AA9">
        <v>4.6999998092651296</v>
      </c>
      <c r="AB9">
        <v>1</v>
      </c>
      <c r="AC9">
        <v>5</v>
      </c>
      <c r="AD9">
        <v>4904</v>
      </c>
      <c r="AE9">
        <v>1</v>
      </c>
      <c r="AF9">
        <v>5</v>
      </c>
      <c r="AG9">
        <f>AVERAGE(AG2:AG7,AG13:AG14)</f>
        <v>90.875</v>
      </c>
      <c r="AH9">
        <f>AVERAGE(AH2:AH7,AH13:AH14)</f>
        <v>9.125</v>
      </c>
      <c r="AI9">
        <v>0</v>
      </c>
      <c r="AJ9">
        <v>16007255</v>
      </c>
      <c r="AK9">
        <v>2552038</v>
      </c>
      <c r="AL9">
        <v>2927128</v>
      </c>
      <c r="AM9">
        <v>85145848</v>
      </c>
      <c r="AN9">
        <v>80807072</v>
      </c>
      <c r="AO9">
        <v>286411</v>
      </c>
      <c r="AP9">
        <v>13.9</v>
      </c>
      <c r="AQ9">
        <v>3</v>
      </c>
      <c r="AR9">
        <f t="shared" si="0"/>
        <v>1878.8862455228057</v>
      </c>
    </row>
    <row r="10" spans="1:44" x14ac:dyDescent="0.3">
      <c r="A10">
        <v>2013</v>
      </c>
      <c r="B10" t="s">
        <v>41</v>
      </c>
      <c r="C10">
        <v>110912</v>
      </c>
      <c r="D10">
        <v>7.22300004959106</v>
      </c>
      <c r="E10">
        <v>2.1849999427795401</v>
      </c>
      <c r="F10">
        <v>11126</v>
      </c>
      <c r="G10">
        <v>8017</v>
      </c>
      <c r="H10">
        <v>3109</v>
      </c>
      <c r="I10">
        <f>AVERAGE(I2:I5,I8:I9,I12:I14)</f>
        <v>11142.111111111111</v>
      </c>
      <c r="J10">
        <v>82</v>
      </c>
      <c r="K10">
        <v>2981</v>
      </c>
      <c r="L10">
        <v>2981</v>
      </c>
      <c r="M10">
        <v>0</v>
      </c>
      <c r="N10">
        <v>37.206001281738203</v>
      </c>
      <c r="O10" s="1">
        <v>2422993</v>
      </c>
      <c r="P10">
        <v>2497</v>
      </c>
      <c r="Q10">
        <v>2981</v>
      </c>
      <c r="R10">
        <v>24</v>
      </c>
      <c r="S10" s="2">
        <v>58487535.927000001</v>
      </c>
      <c r="T10" s="2">
        <v>66111399.085000001</v>
      </c>
      <c r="U10" s="2">
        <v>-7623863.1579999998</v>
      </c>
      <c r="V10" s="2">
        <v>1439106.1780000001</v>
      </c>
      <c r="W10">
        <v>35.299999237060497</v>
      </c>
      <c r="X10">
        <v>7.0999999046325604</v>
      </c>
      <c r="Y10">
        <v>4.8000001907348597</v>
      </c>
      <c r="Z10">
        <v>52.799999237060497</v>
      </c>
      <c r="AA10">
        <v>4.1999998092651296</v>
      </c>
      <c r="AB10">
        <v>1</v>
      </c>
      <c r="AC10">
        <v>5</v>
      </c>
      <c r="AD10">
        <v>4836</v>
      </c>
      <c r="AE10">
        <v>1</v>
      </c>
      <c r="AF10">
        <v>5</v>
      </c>
      <c r="AG10">
        <f>AVERAGE(AG2:AG7,AG13:AG14)</f>
        <v>90.875</v>
      </c>
      <c r="AH10">
        <f>AVERAGE(AH2:AH7,AH13:AH14)</f>
        <v>9.125</v>
      </c>
      <c r="AI10">
        <v>0</v>
      </c>
      <c r="AJ10">
        <v>14599725</v>
      </c>
      <c r="AK10">
        <v>2400305</v>
      </c>
      <c r="AL10">
        <v>3272343</v>
      </c>
      <c r="AM10">
        <v>66223528</v>
      </c>
      <c r="AN10">
        <v>61018224</v>
      </c>
      <c r="AO10">
        <v>269742</v>
      </c>
      <c r="AP10">
        <v>17.579999999999998</v>
      </c>
      <c r="AQ10">
        <v>4</v>
      </c>
      <c r="AR10">
        <f t="shared" si="0"/>
        <v>2433.8917180258518</v>
      </c>
    </row>
    <row r="11" spans="1:44" x14ac:dyDescent="0.3">
      <c r="A11">
        <v>2014</v>
      </c>
      <c r="B11" t="s">
        <v>41</v>
      </c>
      <c r="C11">
        <v>110912</v>
      </c>
      <c r="D11">
        <v>7.1760001182556099</v>
      </c>
      <c r="E11">
        <v>2.3299999237060498</v>
      </c>
      <c r="F11">
        <v>10794</v>
      </c>
      <c r="G11">
        <v>7820</v>
      </c>
      <c r="H11">
        <v>2974</v>
      </c>
      <c r="I11">
        <f>AVERAGE(I2:I5,I8:I9,I12:I14)</f>
        <v>11142.111111111111</v>
      </c>
      <c r="J11">
        <v>81</v>
      </c>
      <c r="K11">
        <v>2981</v>
      </c>
      <c r="L11">
        <v>2981</v>
      </c>
      <c r="M11">
        <v>0</v>
      </c>
      <c r="N11">
        <v>37.206001281738203</v>
      </c>
      <c r="O11" s="1">
        <v>2407278</v>
      </c>
      <c r="P11">
        <v>2065</v>
      </c>
      <c r="Q11">
        <v>2981</v>
      </c>
      <c r="R11">
        <v>24</v>
      </c>
      <c r="S11" s="2">
        <v>56128080.686999999</v>
      </c>
      <c r="T11" s="2">
        <v>63437130.901000001</v>
      </c>
      <c r="U11" s="2">
        <v>-7309050.2139999997</v>
      </c>
      <c r="V11" s="2">
        <v>-1942357.5109999999</v>
      </c>
      <c r="W11">
        <v>32.700000762939403</v>
      </c>
      <c r="X11">
        <v>7.1999998092651296</v>
      </c>
      <c r="Y11">
        <v>4.4000000953674299</v>
      </c>
      <c r="Z11">
        <v>55.700000762939403</v>
      </c>
      <c r="AA11">
        <v>1.6000000238418499</v>
      </c>
      <c r="AB11">
        <v>1</v>
      </c>
      <c r="AC11">
        <v>5</v>
      </c>
      <c r="AD11">
        <v>4814</v>
      </c>
      <c r="AE11">
        <v>1</v>
      </c>
      <c r="AF11">
        <v>5</v>
      </c>
      <c r="AG11">
        <f>AVERAGE(AG2:AG7,AG13:AG14)</f>
        <v>90.875</v>
      </c>
      <c r="AH11">
        <f>AVERAGE(AH2:AH7,AH13:AH14)</f>
        <v>9.125</v>
      </c>
      <c r="AI11">
        <v>0</v>
      </c>
      <c r="AJ11">
        <v>12546757</v>
      </c>
      <c r="AK11">
        <v>2492399</v>
      </c>
      <c r="AL11">
        <v>3665724</v>
      </c>
      <c r="AM11">
        <v>35124228</v>
      </c>
      <c r="AN11">
        <v>28772776</v>
      </c>
      <c r="AO11">
        <v>249551</v>
      </c>
      <c r="AP11">
        <v>18.559999999999999</v>
      </c>
      <c r="AQ11">
        <v>4</v>
      </c>
      <c r="AR11">
        <f t="shared" si="0"/>
        <v>2586.3990655161369</v>
      </c>
    </row>
    <row r="12" spans="1:44" x14ac:dyDescent="0.3">
      <c r="A12">
        <v>2015</v>
      </c>
      <c r="B12" t="s">
        <v>41</v>
      </c>
      <c r="C12">
        <v>110912</v>
      </c>
      <c r="D12">
        <v>7.1500000953674299</v>
      </c>
      <c r="E12">
        <v>2.4800000190734801</v>
      </c>
      <c r="F12">
        <v>10572</v>
      </c>
      <c r="G12">
        <v>7636</v>
      </c>
      <c r="H12">
        <v>2936</v>
      </c>
      <c r="I12">
        <v>9474</v>
      </c>
      <c r="J12">
        <v>82.319999694824205</v>
      </c>
      <c r="K12">
        <v>2981</v>
      </c>
      <c r="L12">
        <v>2981</v>
      </c>
      <c r="M12">
        <v>0</v>
      </c>
      <c r="N12">
        <v>37.206001281738203</v>
      </c>
      <c r="O12" s="1">
        <v>2398453</v>
      </c>
      <c r="P12">
        <v>2342</v>
      </c>
      <c r="Q12">
        <v>2981</v>
      </c>
      <c r="R12">
        <v>24</v>
      </c>
      <c r="S12" s="2">
        <v>52926516.129000001</v>
      </c>
      <c r="T12">
        <v>59738324</v>
      </c>
      <c r="U12" s="2">
        <v>-6811807.6610000003</v>
      </c>
      <c r="V12" s="2">
        <v>-1010156.048</v>
      </c>
      <c r="W12">
        <v>30.799999237060501</v>
      </c>
      <c r="X12">
        <v>6.0999999046325604</v>
      </c>
      <c r="Y12">
        <v>3.5999999046325599</v>
      </c>
      <c r="Z12">
        <v>59.400001525878899</v>
      </c>
      <c r="AA12">
        <v>3.4000000953674299</v>
      </c>
      <c r="AB12">
        <v>1</v>
      </c>
      <c r="AC12">
        <v>5</v>
      </c>
      <c r="AD12">
        <v>4814</v>
      </c>
      <c r="AE12">
        <v>1</v>
      </c>
      <c r="AF12">
        <v>5</v>
      </c>
      <c r="AG12">
        <f>AVERAGE(AG2:AG7,AG13:AG14)</f>
        <v>90.875</v>
      </c>
      <c r="AH12">
        <f>AVERAGE(AH2:AH7,AH13:AH14)</f>
        <v>9.125</v>
      </c>
      <c r="AI12">
        <v>0</v>
      </c>
      <c r="AJ12">
        <v>19696938</v>
      </c>
      <c r="AK12">
        <v>4439360</v>
      </c>
      <c r="AL12">
        <v>5767756</v>
      </c>
      <c r="AM12">
        <v>57832512</v>
      </c>
      <c r="AN12">
        <v>53171932</v>
      </c>
      <c r="AO12">
        <v>336913</v>
      </c>
      <c r="AP12">
        <v>21.16</v>
      </c>
      <c r="AQ12">
        <v>4</v>
      </c>
      <c r="AR12">
        <f t="shared" si="0"/>
        <v>2959.4405199672397</v>
      </c>
    </row>
    <row r="13" spans="1:44" x14ac:dyDescent="0.3">
      <c r="A13">
        <v>2016</v>
      </c>
      <c r="B13" t="s">
        <v>41</v>
      </c>
      <c r="C13">
        <v>110912</v>
      </c>
      <c r="D13">
        <v>7.1310000419616602</v>
      </c>
      <c r="E13">
        <v>2.4900000095367401</v>
      </c>
      <c r="F13">
        <v>10508</v>
      </c>
      <c r="G13">
        <v>7598</v>
      </c>
      <c r="H13">
        <v>2910</v>
      </c>
      <c r="I13">
        <v>9369</v>
      </c>
      <c r="J13">
        <v>82.449996948242102</v>
      </c>
      <c r="K13">
        <v>2980</v>
      </c>
      <c r="L13">
        <v>2980</v>
      </c>
      <c r="M13">
        <v>0</v>
      </c>
      <c r="N13">
        <v>37.219001770019503</v>
      </c>
      <c r="O13" s="1">
        <v>2393119</v>
      </c>
      <c r="P13">
        <v>2341</v>
      </c>
      <c r="Q13">
        <v>2980</v>
      </c>
      <c r="R13">
        <v>23</v>
      </c>
      <c r="S13" s="2">
        <v>53195582.329000004</v>
      </c>
      <c r="T13">
        <v>61111244</v>
      </c>
      <c r="U13" s="2">
        <v>-7915662.6509999996</v>
      </c>
      <c r="V13" s="2">
        <v>-2897590.361</v>
      </c>
      <c r="W13">
        <v>27.5</v>
      </c>
      <c r="X13">
        <v>6.0999999046325604</v>
      </c>
      <c r="Y13">
        <v>3.20000004768371</v>
      </c>
      <c r="Z13">
        <v>63.200000762939403</v>
      </c>
      <c r="AA13">
        <v>3.5999999046325599</v>
      </c>
      <c r="AB13">
        <v>1</v>
      </c>
      <c r="AC13">
        <v>5</v>
      </c>
      <c r="AD13">
        <v>4714</v>
      </c>
      <c r="AE13">
        <v>1</v>
      </c>
      <c r="AF13">
        <v>5</v>
      </c>
      <c r="AG13">
        <v>100</v>
      </c>
      <c r="AH13">
        <v>0</v>
      </c>
      <c r="AI13">
        <v>0</v>
      </c>
      <c r="AJ13">
        <v>18269376</v>
      </c>
      <c r="AK13">
        <v>4772947</v>
      </c>
      <c r="AL13">
        <v>6848580</v>
      </c>
      <c r="AM13">
        <v>98429984</v>
      </c>
      <c r="AN13">
        <v>94217904</v>
      </c>
      <c r="AO13">
        <v>304436</v>
      </c>
      <c r="AP13">
        <v>25.63</v>
      </c>
      <c r="AQ13">
        <v>4</v>
      </c>
      <c r="AR13">
        <f t="shared" si="0"/>
        <v>3594.1662949351867</v>
      </c>
    </row>
    <row r="14" spans="1:44" x14ac:dyDescent="0.3">
      <c r="A14">
        <v>2017</v>
      </c>
      <c r="B14" t="s">
        <v>41</v>
      </c>
      <c r="C14">
        <v>110912</v>
      </c>
      <c r="D14">
        <v>7.08500003814697</v>
      </c>
      <c r="E14">
        <v>2.3399999141693102</v>
      </c>
      <c r="F14">
        <v>10293</v>
      </c>
      <c r="G14">
        <v>7486</v>
      </c>
      <c r="H14">
        <v>2807</v>
      </c>
      <c r="I14">
        <v>9236</v>
      </c>
      <c r="J14">
        <v>82.440002441406193</v>
      </c>
      <c r="K14">
        <v>2980</v>
      </c>
      <c r="L14">
        <v>2980</v>
      </c>
      <c r="M14">
        <v>0</v>
      </c>
      <c r="N14">
        <v>37.219001770019503</v>
      </c>
      <c r="O14" s="1">
        <v>2377373</v>
      </c>
      <c r="P14">
        <v>2341</v>
      </c>
      <c r="Q14">
        <v>2980</v>
      </c>
      <c r="R14">
        <v>23</v>
      </c>
      <c r="S14" s="2">
        <v>61657625.214000002</v>
      </c>
      <c r="T14" s="2">
        <v>69453024.785999998</v>
      </c>
      <c r="U14" s="2">
        <v>-7795399.5719999997</v>
      </c>
      <c r="V14" s="2">
        <v>-1572603.419</v>
      </c>
      <c r="W14">
        <v>35.5</v>
      </c>
      <c r="X14">
        <v>6.6999998092651296</v>
      </c>
      <c r="Y14">
        <v>2.70000004768371</v>
      </c>
      <c r="Z14">
        <v>55.099998474121001</v>
      </c>
      <c r="AA14">
        <v>3.20000004768371</v>
      </c>
      <c r="AB14">
        <v>1</v>
      </c>
      <c r="AC14">
        <v>5</v>
      </c>
      <c r="AD14">
        <v>4713</v>
      </c>
      <c r="AE14">
        <v>1</v>
      </c>
      <c r="AF14">
        <v>5</v>
      </c>
      <c r="AG14">
        <v>87</v>
      </c>
      <c r="AH14">
        <v>13</v>
      </c>
      <c r="AI14">
        <v>0</v>
      </c>
      <c r="AJ14">
        <v>20784384</v>
      </c>
      <c r="AK14">
        <v>4648674</v>
      </c>
      <c r="AL14">
        <v>7786389</v>
      </c>
      <c r="AM14">
        <v>109692712</v>
      </c>
      <c r="AN14">
        <v>105099280</v>
      </c>
      <c r="AO14">
        <v>273930</v>
      </c>
      <c r="AP14">
        <v>31.91</v>
      </c>
      <c r="AQ14">
        <v>4</v>
      </c>
      <c r="AR14">
        <f t="shared" si="0"/>
        <v>4503.8814154115134</v>
      </c>
    </row>
    <row r="15" spans="1:44" x14ac:dyDescent="0.3">
      <c r="A15">
        <v>2004</v>
      </c>
      <c r="B15" t="s">
        <v>42</v>
      </c>
      <c r="C15">
        <v>56538</v>
      </c>
      <c r="D15">
        <v>4.5399999618530202</v>
      </c>
      <c r="E15">
        <v>8.7539997100830007</v>
      </c>
      <c r="F15">
        <v>11919</v>
      </c>
      <c r="G15">
        <v>11776</v>
      </c>
      <c r="H15">
        <v>143</v>
      </c>
      <c r="I15">
        <v>11847</v>
      </c>
      <c r="J15">
        <v>48</v>
      </c>
      <c r="K15">
        <v>1158</v>
      </c>
      <c r="L15">
        <v>1158</v>
      </c>
      <c r="M15">
        <v>0</v>
      </c>
      <c r="N15">
        <v>48.824001312255803</v>
      </c>
      <c r="O15" s="1">
        <v>3920447</v>
      </c>
      <c r="P15">
        <v>0</v>
      </c>
      <c r="Q15">
        <v>1158</v>
      </c>
      <c r="R15">
        <v>14</v>
      </c>
      <c r="S15" s="2">
        <v>153798895.59099999</v>
      </c>
      <c r="T15" s="2">
        <v>176072667.69499999</v>
      </c>
      <c r="U15" s="2">
        <v>-22273772.103999998</v>
      </c>
      <c r="V15" s="2">
        <f>AVERAGE(V16:V27)</f>
        <v>526586.38225000002</v>
      </c>
      <c r="W15">
        <v>57.400001525878899</v>
      </c>
      <c r="X15">
        <v>5</v>
      </c>
      <c r="Y15">
        <v>28</v>
      </c>
      <c r="Z15">
        <v>9.6000003814697195</v>
      </c>
      <c r="AA15">
        <v>4.5999999046325604</v>
      </c>
      <c r="AB15">
        <v>2</v>
      </c>
      <c r="AC15">
        <v>3</v>
      </c>
      <c r="AD15">
        <v>5278</v>
      </c>
      <c r="AE15">
        <v>1</v>
      </c>
      <c r="AF15">
        <v>3</v>
      </c>
      <c r="AG15">
        <v>78</v>
      </c>
      <c r="AH15">
        <v>22</v>
      </c>
      <c r="AI15">
        <v>0</v>
      </c>
      <c r="AJ15">
        <v>283883296</v>
      </c>
      <c r="AK15">
        <v>11901221</v>
      </c>
      <c r="AL15">
        <v>14084755</v>
      </c>
      <c r="AM15">
        <v>82326160</v>
      </c>
      <c r="AN15">
        <v>56805048</v>
      </c>
      <c r="AO15">
        <v>2170723</v>
      </c>
      <c r="AP15">
        <v>114.8</v>
      </c>
      <c r="AQ15">
        <v>4</v>
      </c>
      <c r="AR15">
        <f t="shared" si="0"/>
        <v>25286.343824801243</v>
      </c>
    </row>
    <row r="16" spans="1:44" x14ac:dyDescent="0.3">
      <c r="A16">
        <v>2005</v>
      </c>
      <c r="B16" t="s">
        <v>42</v>
      </c>
      <c r="C16">
        <v>56538</v>
      </c>
      <c r="D16">
        <v>4.5510001182556099</v>
      </c>
      <c r="E16">
        <v>8.9099998474121005</v>
      </c>
      <c r="F16">
        <v>11878</v>
      </c>
      <c r="G16">
        <v>11753</v>
      </c>
      <c r="H16">
        <v>125</v>
      </c>
      <c r="I16">
        <v>11816</v>
      </c>
      <c r="J16">
        <v>48</v>
      </c>
      <c r="K16">
        <v>1159</v>
      </c>
      <c r="L16">
        <v>1159</v>
      </c>
      <c r="M16">
        <v>0</v>
      </c>
      <c r="N16">
        <v>48.7820014953613</v>
      </c>
      <c r="O16" s="1">
        <v>3927084</v>
      </c>
      <c r="P16">
        <v>0</v>
      </c>
      <c r="Q16">
        <v>1159</v>
      </c>
      <c r="R16">
        <v>14</v>
      </c>
      <c r="S16" s="2">
        <v>156748559.801</v>
      </c>
      <c r="T16">
        <v>162154480</v>
      </c>
      <c r="U16" s="2">
        <v>-5405925.7889999999</v>
      </c>
      <c r="V16" s="2">
        <v>689990.60600000003</v>
      </c>
      <c r="W16">
        <v>64</v>
      </c>
      <c r="X16">
        <v>6</v>
      </c>
      <c r="Y16">
        <v>1</v>
      </c>
      <c r="Z16">
        <v>29</v>
      </c>
      <c r="AA16">
        <v>0.5</v>
      </c>
      <c r="AB16">
        <v>1</v>
      </c>
      <c r="AC16">
        <v>3</v>
      </c>
      <c r="AD16">
        <v>5286</v>
      </c>
      <c r="AE16">
        <v>1</v>
      </c>
      <c r="AF16">
        <v>3</v>
      </c>
      <c r="AG16">
        <v>84</v>
      </c>
      <c r="AH16">
        <v>16</v>
      </c>
      <c r="AI16">
        <v>0</v>
      </c>
      <c r="AJ16">
        <v>308272576</v>
      </c>
      <c r="AK16">
        <v>12510920</v>
      </c>
      <c r="AL16">
        <v>13173976</v>
      </c>
      <c r="AM16">
        <v>90271960</v>
      </c>
      <c r="AN16">
        <v>45911600</v>
      </c>
      <c r="AO16">
        <v>2050316</v>
      </c>
      <c r="AP16">
        <v>124</v>
      </c>
      <c r="AQ16">
        <v>4</v>
      </c>
      <c r="AR16">
        <f t="shared" si="0"/>
        <v>27246.758246081736</v>
      </c>
    </row>
    <row r="17" spans="1:44" x14ac:dyDescent="0.3">
      <c r="A17">
        <v>2006</v>
      </c>
      <c r="B17" t="s">
        <v>42</v>
      </c>
      <c r="C17">
        <v>56538</v>
      </c>
      <c r="D17">
        <v>4.5560002326965297</v>
      </c>
      <c r="E17">
        <v>8.3920001983642507</v>
      </c>
      <c r="F17">
        <v>12267</v>
      </c>
      <c r="G17">
        <v>12131</v>
      </c>
      <c r="H17">
        <v>136</v>
      </c>
      <c r="I17">
        <v>12199</v>
      </c>
      <c r="J17">
        <v>47</v>
      </c>
      <c r="K17">
        <v>1161</v>
      </c>
      <c r="L17">
        <v>1161</v>
      </c>
      <c r="M17">
        <v>0</v>
      </c>
      <c r="N17">
        <v>48.698001861572202</v>
      </c>
      <c r="O17">
        <v>3924.21997070312</v>
      </c>
      <c r="P17">
        <v>0</v>
      </c>
      <c r="Q17">
        <v>1161</v>
      </c>
      <c r="R17">
        <v>14</v>
      </c>
      <c r="S17" s="2">
        <v>170972757.745</v>
      </c>
      <c r="T17" s="2">
        <v>176169845.567</v>
      </c>
      <c r="U17" s="2">
        <v>-5197087.8219999997</v>
      </c>
      <c r="V17" s="2">
        <v>198903.837</v>
      </c>
      <c r="W17">
        <v>57</v>
      </c>
      <c r="X17">
        <v>3</v>
      </c>
      <c r="Y17">
        <v>22</v>
      </c>
      <c r="Z17">
        <v>18</v>
      </c>
      <c r="AA17">
        <v>1.2000000104308101E-2</v>
      </c>
      <c r="AB17">
        <v>2</v>
      </c>
      <c r="AC17">
        <v>3</v>
      </c>
      <c r="AD17">
        <v>5220</v>
      </c>
      <c r="AE17">
        <v>1</v>
      </c>
      <c r="AF17">
        <v>3</v>
      </c>
      <c r="AG17">
        <v>76</v>
      </c>
      <c r="AH17">
        <v>24</v>
      </c>
      <c r="AI17">
        <v>0</v>
      </c>
      <c r="AJ17">
        <v>329095648</v>
      </c>
      <c r="AK17">
        <v>11961163</v>
      </c>
      <c r="AL17">
        <v>12647168</v>
      </c>
      <c r="AM17">
        <v>89214544</v>
      </c>
      <c r="AN17">
        <v>48988488</v>
      </c>
      <c r="AO17">
        <v>2068821</v>
      </c>
      <c r="AP17">
        <v>129.5</v>
      </c>
      <c r="AQ17">
        <v>0</v>
      </c>
      <c r="AR17">
        <f t="shared" si="0"/>
        <v>28424.054737888742</v>
      </c>
    </row>
    <row r="18" spans="1:44" x14ac:dyDescent="0.3">
      <c r="A18">
        <v>2007</v>
      </c>
      <c r="B18" t="s">
        <v>42</v>
      </c>
      <c r="C18">
        <v>56538</v>
      </c>
      <c r="D18">
        <v>4.4260001182556099</v>
      </c>
      <c r="E18">
        <v>7.8779997825622496</v>
      </c>
      <c r="F18">
        <v>12163</v>
      </c>
      <c r="G18">
        <v>12044</v>
      </c>
      <c r="H18">
        <v>119</v>
      </c>
      <c r="I18">
        <v>12104</v>
      </c>
      <c r="J18">
        <v>47</v>
      </c>
      <c r="K18">
        <v>1160</v>
      </c>
      <c r="L18">
        <v>1160</v>
      </c>
      <c r="M18">
        <v>0</v>
      </c>
      <c r="N18">
        <v>48.740001678466697</v>
      </c>
      <c r="O18" s="1">
        <v>3815513</v>
      </c>
      <c r="P18">
        <v>0</v>
      </c>
      <c r="Q18">
        <v>1160</v>
      </c>
      <c r="R18">
        <v>16</v>
      </c>
      <c r="S18" s="2">
        <v>187673151.68799999</v>
      </c>
      <c r="T18" s="2">
        <v>201125531.09900001</v>
      </c>
      <c r="U18" s="2">
        <v>-13452379.411</v>
      </c>
      <c r="V18" s="2">
        <v>157810.61199999999</v>
      </c>
      <c r="W18">
        <v>53</v>
      </c>
      <c r="X18">
        <v>6</v>
      </c>
      <c r="Y18">
        <v>20</v>
      </c>
      <c r="Z18">
        <v>21</v>
      </c>
      <c r="AA18">
        <v>1.09999999403954E-2</v>
      </c>
      <c r="AB18">
        <v>1</v>
      </c>
      <c r="AC18">
        <v>3</v>
      </c>
      <c r="AD18">
        <v>5048</v>
      </c>
      <c r="AE18">
        <v>1</v>
      </c>
      <c r="AF18">
        <v>3</v>
      </c>
      <c r="AG18">
        <v>74</v>
      </c>
      <c r="AH18">
        <v>26</v>
      </c>
      <c r="AI18">
        <v>0</v>
      </c>
      <c r="AJ18">
        <v>334399360</v>
      </c>
      <c r="AK18">
        <v>10791248</v>
      </c>
      <c r="AL18">
        <v>12182190</v>
      </c>
      <c r="AM18">
        <v>78286032</v>
      </c>
      <c r="AN18">
        <v>26838970</v>
      </c>
      <c r="AO18">
        <v>2142807</v>
      </c>
      <c r="AP18">
        <v>135.5</v>
      </c>
      <c r="AQ18">
        <v>0</v>
      </c>
      <c r="AR18">
        <f t="shared" si="0"/>
        <v>30614.549566122405</v>
      </c>
    </row>
    <row r="19" spans="1:44" x14ac:dyDescent="0.3">
      <c r="A19">
        <v>2008</v>
      </c>
      <c r="B19" t="s">
        <v>42</v>
      </c>
      <c r="C19">
        <v>56538</v>
      </c>
      <c r="D19">
        <v>4.4180002212524396</v>
      </c>
      <c r="E19">
        <v>7.94099998474121</v>
      </c>
      <c r="F19">
        <v>11567</v>
      </c>
      <c r="G19">
        <v>11487</v>
      </c>
      <c r="H19">
        <v>80</v>
      </c>
      <c r="I19">
        <v>11477</v>
      </c>
      <c r="J19">
        <v>45.959999084472599</v>
      </c>
      <c r="K19">
        <v>1147</v>
      </c>
      <c r="L19">
        <v>1147</v>
      </c>
      <c r="M19">
        <v>0</v>
      </c>
      <c r="N19">
        <v>49.291999816894503</v>
      </c>
      <c r="O19" s="1">
        <v>3852125</v>
      </c>
      <c r="P19">
        <v>0</v>
      </c>
      <c r="Q19">
        <v>1147</v>
      </c>
      <c r="R19">
        <v>14</v>
      </c>
      <c r="S19" s="2">
        <v>188910569.95300001</v>
      </c>
      <c r="T19" s="2">
        <v>215547750.66100001</v>
      </c>
      <c r="U19" s="2">
        <v>-26637180.708000001</v>
      </c>
      <c r="V19" s="2">
        <v>-31270517.818999998</v>
      </c>
      <c r="W19">
        <v>58.5</v>
      </c>
      <c r="X19">
        <v>6.3000001907348597</v>
      </c>
      <c r="Y19">
        <v>22</v>
      </c>
      <c r="Z19">
        <v>13.199999809265099</v>
      </c>
      <c r="AA19">
        <v>1.2000000104308101E-2</v>
      </c>
      <c r="AB19">
        <v>1</v>
      </c>
      <c r="AC19">
        <v>3</v>
      </c>
      <c r="AD19">
        <v>5119</v>
      </c>
      <c r="AE19">
        <v>1</v>
      </c>
      <c r="AF19">
        <v>3</v>
      </c>
      <c r="AG19">
        <v>75</v>
      </c>
      <c r="AH19">
        <v>25</v>
      </c>
      <c r="AI19">
        <v>0</v>
      </c>
      <c r="AJ19">
        <v>316968896</v>
      </c>
      <c r="AK19">
        <v>10918026</v>
      </c>
      <c r="AL19">
        <v>13713415</v>
      </c>
      <c r="AM19">
        <v>61696308</v>
      </c>
      <c r="AN19">
        <v>20956018</v>
      </c>
      <c r="AO19">
        <v>2177264</v>
      </c>
      <c r="AP19">
        <v>141.30000000000001</v>
      </c>
      <c r="AQ19">
        <v>2</v>
      </c>
      <c r="AR19">
        <f t="shared" si="0"/>
        <v>31982.796044302482</v>
      </c>
    </row>
    <row r="20" spans="1:44" x14ac:dyDescent="0.3">
      <c r="A20">
        <v>2009</v>
      </c>
      <c r="B20" t="s">
        <v>42</v>
      </c>
      <c r="C20">
        <v>56538</v>
      </c>
      <c r="D20">
        <v>4.4109997749328604</v>
      </c>
      <c r="E20">
        <v>7.9780001640319798</v>
      </c>
      <c r="F20">
        <v>11259</v>
      </c>
      <c r="G20">
        <v>11205</v>
      </c>
      <c r="H20">
        <v>54</v>
      </c>
      <c r="I20">
        <v>11234</v>
      </c>
      <c r="J20">
        <v>46</v>
      </c>
      <c r="K20">
        <v>1151</v>
      </c>
      <c r="L20">
        <v>1151</v>
      </c>
      <c r="M20">
        <v>0</v>
      </c>
      <c r="N20">
        <v>49.120998382568303</v>
      </c>
      <c r="O20" s="1">
        <v>3832202</v>
      </c>
      <c r="P20">
        <v>0</v>
      </c>
      <c r="Q20">
        <v>1151</v>
      </c>
      <c r="R20">
        <v>14</v>
      </c>
      <c r="S20" s="2">
        <v>210189480.97400001</v>
      </c>
      <c r="T20" s="2">
        <v>190300032.33700001</v>
      </c>
      <c r="U20" s="2">
        <v>19889448.636999998</v>
      </c>
      <c r="V20" s="2">
        <v>6257291.9380000001</v>
      </c>
      <c r="W20">
        <v>52.020000457763601</v>
      </c>
      <c r="X20">
        <v>4.6399998664855904</v>
      </c>
      <c r="Y20">
        <v>0.81000000238418501</v>
      </c>
      <c r="Z20">
        <v>42.529998779296797</v>
      </c>
      <c r="AA20">
        <v>2.9999999329447701E-2</v>
      </c>
      <c r="AB20">
        <v>1</v>
      </c>
      <c r="AC20">
        <v>3</v>
      </c>
      <c r="AD20">
        <v>5051</v>
      </c>
      <c r="AE20">
        <v>1</v>
      </c>
      <c r="AF20">
        <v>3</v>
      </c>
      <c r="AG20">
        <v>74</v>
      </c>
      <c r="AH20">
        <v>26</v>
      </c>
      <c r="AI20">
        <v>0</v>
      </c>
      <c r="AJ20">
        <v>280180928</v>
      </c>
      <c r="AK20">
        <v>10893877</v>
      </c>
      <c r="AL20">
        <v>11720757</v>
      </c>
      <c r="AM20">
        <v>73708144</v>
      </c>
      <c r="AN20">
        <v>32611294</v>
      </c>
      <c r="AO20">
        <v>1805330</v>
      </c>
      <c r="AP20">
        <v>160.9</v>
      </c>
      <c r="AQ20">
        <v>2</v>
      </c>
      <c r="AR20">
        <f t="shared" si="0"/>
        <v>36476.991206024046</v>
      </c>
    </row>
    <row r="21" spans="1:44" x14ac:dyDescent="0.3">
      <c r="A21">
        <v>2010</v>
      </c>
      <c r="B21" t="s">
        <v>42</v>
      </c>
      <c r="C21">
        <v>56538</v>
      </c>
      <c r="D21">
        <v>4.4029998779296804</v>
      </c>
      <c r="E21">
        <v>8.5749998092651296</v>
      </c>
      <c r="F21">
        <v>10649</v>
      </c>
      <c r="G21">
        <v>10572</v>
      </c>
      <c r="H21">
        <v>77</v>
      </c>
      <c r="I21">
        <v>10610</v>
      </c>
      <c r="J21">
        <v>45.130001068115199</v>
      </c>
      <c r="K21">
        <v>1142</v>
      </c>
      <c r="L21">
        <v>1142</v>
      </c>
      <c r="M21">
        <v>0</v>
      </c>
      <c r="N21">
        <v>49.507999420166001</v>
      </c>
      <c r="O21" s="1">
        <v>3855806</v>
      </c>
      <c r="P21">
        <v>0</v>
      </c>
      <c r="Q21">
        <v>1142</v>
      </c>
      <c r="R21">
        <v>14</v>
      </c>
      <c r="S21" s="2">
        <v>193721488.74599999</v>
      </c>
      <c r="T21" s="2">
        <v>189363166.764</v>
      </c>
      <c r="U21" s="2">
        <v>4358321.9819999998</v>
      </c>
      <c r="V21" s="2">
        <v>4120241.7489999998</v>
      </c>
      <c r="W21">
        <v>49.909999847412102</v>
      </c>
      <c r="X21">
        <v>4.9299998283386204</v>
      </c>
      <c r="Y21">
        <v>0.86000001430511397</v>
      </c>
      <c r="Z21">
        <v>44.299999237060497</v>
      </c>
      <c r="AA21">
        <v>4.0000001899898104E-3</v>
      </c>
      <c r="AB21">
        <v>1</v>
      </c>
      <c r="AC21">
        <v>3</v>
      </c>
      <c r="AD21">
        <v>4869</v>
      </c>
      <c r="AE21">
        <v>1</v>
      </c>
      <c r="AF21">
        <v>3</v>
      </c>
      <c r="AG21">
        <v>79</v>
      </c>
      <c r="AH21">
        <v>21</v>
      </c>
      <c r="AI21">
        <v>0</v>
      </c>
      <c r="AJ21">
        <v>253620320</v>
      </c>
      <c r="AK21">
        <v>8130407</v>
      </c>
      <c r="AL21">
        <v>12316882</v>
      </c>
      <c r="AM21">
        <v>70909608</v>
      </c>
      <c r="AN21">
        <v>30611436</v>
      </c>
      <c r="AO21">
        <v>1377407</v>
      </c>
      <c r="AP21">
        <v>153.19999999999999</v>
      </c>
      <c r="AQ21">
        <v>2</v>
      </c>
      <c r="AR21">
        <f t="shared" si="0"/>
        <v>34794.459288523904</v>
      </c>
    </row>
    <row r="22" spans="1:44" x14ac:dyDescent="0.3">
      <c r="A22">
        <v>2011</v>
      </c>
      <c r="B22" t="s">
        <v>42</v>
      </c>
      <c r="C22">
        <v>56538</v>
      </c>
      <c r="D22">
        <v>4.3959999084472603</v>
      </c>
      <c r="E22">
        <v>8.9350004196166903</v>
      </c>
      <c r="F22">
        <v>10664</v>
      </c>
      <c r="G22">
        <v>10590</v>
      </c>
      <c r="H22">
        <v>74</v>
      </c>
      <c r="I22">
        <f>AVERAGE(I15:I21,I23:I27)</f>
        <v>10860.666666666666</v>
      </c>
      <c r="J22">
        <v>45.119998931884702</v>
      </c>
      <c r="K22">
        <v>1146</v>
      </c>
      <c r="L22">
        <v>1146</v>
      </c>
      <c r="M22">
        <v>0</v>
      </c>
      <c r="N22">
        <v>49.334999084472599</v>
      </c>
      <c r="O22" s="1">
        <v>3835567</v>
      </c>
      <c r="P22">
        <v>0</v>
      </c>
      <c r="Q22">
        <v>1146</v>
      </c>
      <c r="R22">
        <v>14</v>
      </c>
      <c r="S22">
        <v>182699040</v>
      </c>
      <c r="T22" s="2">
        <v>177644676.10499999</v>
      </c>
      <c r="U22" s="2">
        <v>5054368.2149999999</v>
      </c>
      <c r="V22" s="2">
        <v>1945660.996</v>
      </c>
      <c r="W22">
        <v>50.240001678466697</v>
      </c>
      <c r="X22">
        <v>5.67000007629394</v>
      </c>
      <c r="Y22">
        <v>0.93999999761581399</v>
      </c>
      <c r="Z22">
        <v>43.150001525878899</v>
      </c>
      <c r="AA22">
        <v>5.0000000745058101E-2</v>
      </c>
      <c r="AB22">
        <v>1</v>
      </c>
      <c r="AC22">
        <v>3</v>
      </c>
      <c r="AD22">
        <v>4892</v>
      </c>
      <c r="AE22">
        <v>1</v>
      </c>
      <c r="AF22">
        <v>3</v>
      </c>
      <c r="AG22">
        <v>81</v>
      </c>
      <c r="AH22">
        <v>19</v>
      </c>
      <c r="AI22">
        <v>0</v>
      </c>
      <c r="AJ22">
        <v>261200176</v>
      </c>
      <c r="AK22">
        <v>7350871</v>
      </c>
      <c r="AL22">
        <v>12443137</v>
      </c>
      <c r="AM22">
        <v>67123744</v>
      </c>
      <c r="AN22">
        <v>27815064</v>
      </c>
      <c r="AO22">
        <v>1194131</v>
      </c>
      <c r="AP22">
        <v>147.30000000000001</v>
      </c>
      <c r="AQ22">
        <v>2</v>
      </c>
      <c r="AR22">
        <f t="shared" si="0"/>
        <v>33507.735001757268</v>
      </c>
    </row>
    <row r="23" spans="1:44" x14ac:dyDescent="0.3">
      <c r="A23">
        <v>2012</v>
      </c>
      <c r="B23" t="s">
        <v>42</v>
      </c>
      <c r="C23">
        <v>56538</v>
      </c>
      <c r="D23">
        <v>4.3870000839233301</v>
      </c>
      <c r="E23">
        <v>8.8020000457763601</v>
      </c>
      <c r="F23">
        <v>10543</v>
      </c>
      <c r="G23">
        <v>10400</v>
      </c>
      <c r="H23">
        <v>143</v>
      </c>
      <c r="I23">
        <v>10543</v>
      </c>
      <c r="J23">
        <v>45.290000915527301</v>
      </c>
      <c r="K23">
        <v>1062</v>
      </c>
      <c r="L23">
        <v>1062</v>
      </c>
      <c r="M23">
        <v>0</v>
      </c>
      <c r="N23">
        <v>53.2369995117187</v>
      </c>
      <c r="O23" s="1">
        <v>4131239</v>
      </c>
      <c r="P23">
        <v>0</v>
      </c>
      <c r="Q23">
        <v>1062</v>
      </c>
      <c r="R23">
        <v>14</v>
      </c>
      <c r="S23" s="2">
        <v>178050702.79499999</v>
      </c>
      <c r="T23">
        <v>179352208</v>
      </c>
      <c r="U23" s="2">
        <v>-1301507.7250000001</v>
      </c>
      <c r="V23" s="2">
        <v>-4148041.1269999999</v>
      </c>
      <c r="W23">
        <v>48.919998168945298</v>
      </c>
      <c r="X23">
        <v>6.4800000190734801</v>
      </c>
      <c r="Y23">
        <v>1.0199999809265099</v>
      </c>
      <c r="Z23">
        <v>43.580001831054602</v>
      </c>
      <c r="AA23">
        <v>3.9999999105930301E-2</v>
      </c>
      <c r="AB23">
        <v>1</v>
      </c>
      <c r="AC23">
        <v>3</v>
      </c>
      <c r="AD23">
        <v>4558</v>
      </c>
      <c r="AE23">
        <v>1</v>
      </c>
      <c r="AF23">
        <v>3</v>
      </c>
      <c r="AG23">
        <v>79</v>
      </c>
      <c r="AH23">
        <v>21</v>
      </c>
      <c r="AI23">
        <v>0</v>
      </c>
      <c r="AJ23">
        <v>247150432</v>
      </c>
      <c r="AK23">
        <v>6509268</v>
      </c>
      <c r="AL23">
        <v>15389355</v>
      </c>
      <c r="AM23">
        <v>76210216</v>
      </c>
      <c r="AN23">
        <v>43848936</v>
      </c>
      <c r="AO23">
        <v>991632</v>
      </c>
      <c r="AP23">
        <v>104</v>
      </c>
      <c r="AQ23">
        <v>3</v>
      </c>
      <c r="AR23">
        <f t="shared" si="0"/>
        <v>23706.404834848319</v>
      </c>
    </row>
    <row r="24" spans="1:44" x14ac:dyDescent="0.3">
      <c r="A24">
        <v>2013</v>
      </c>
      <c r="B24" t="s">
        <v>42</v>
      </c>
      <c r="C24">
        <v>56538</v>
      </c>
      <c r="D24">
        <v>4.2899999618530202</v>
      </c>
      <c r="E24">
        <v>8.54500007629394</v>
      </c>
      <c r="F24">
        <v>9664</v>
      </c>
      <c r="G24">
        <v>9593</v>
      </c>
      <c r="H24">
        <v>71</v>
      </c>
      <c r="I24">
        <v>9628</v>
      </c>
      <c r="J24">
        <v>45</v>
      </c>
      <c r="K24">
        <v>1035</v>
      </c>
      <c r="L24">
        <v>1035</v>
      </c>
      <c r="M24">
        <v>0</v>
      </c>
      <c r="N24">
        <v>54.625999450683501</v>
      </c>
      <c r="O24" s="1">
        <v>4144651</v>
      </c>
      <c r="P24">
        <v>0</v>
      </c>
      <c r="Q24">
        <v>1035</v>
      </c>
      <c r="R24">
        <v>14</v>
      </c>
      <c r="S24" s="2">
        <v>205390361.498</v>
      </c>
      <c r="T24" s="2">
        <v>198138115.27200001</v>
      </c>
      <c r="U24" s="2">
        <v>7252246.2259999998</v>
      </c>
      <c r="V24" s="2">
        <v>164014.86199999999</v>
      </c>
      <c r="W24">
        <v>42.220001220703097</v>
      </c>
      <c r="X24">
        <v>5.7600002288818297</v>
      </c>
      <c r="Y24">
        <v>0.88999998569488503</v>
      </c>
      <c r="Z24">
        <v>51.130001068115199</v>
      </c>
      <c r="AA24">
        <v>2.9999999329447701E-2</v>
      </c>
      <c r="AB24">
        <v>1</v>
      </c>
      <c r="AC24">
        <v>3</v>
      </c>
      <c r="AD24">
        <v>4350</v>
      </c>
      <c r="AE24">
        <v>1</v>
      </c>
      <c r="AF24">
        <v>3</v>
      </c>
      <c r="AG24">
        <v>76</v>
      </c>
      <c r="AH24">
        <v>24</v>
      </c>
      <c r="AI24">
        <v>0</v>
      </c>
      <c r="AJ24">
        <v>273809824</v>
      </c>
      <c r="AK24">
        <v>7548857</v>
      </c>
      <c r="AL24">
        <v>15842614</v>
      </c>
      <c r="AM24">
        <v>89171472</v>
      </c>
      <c r="AN24">
        <v>58965424</v>
      </c>
      <c r="AO24">
        <v>825268</v>
      </c>
      <c r="AP24">
        <v>112.71</v>
      </c>
      <c r="AQ24">
        <v>4</v>
      </c>
      <c r="AR24">
        <f t="shared" si="0"/>
        <v>26272.7275063462</v>
      </c>
    </row>
    <row r="25" spans="1:44" x14ac:dyDescent="0.3">
      <c r="A25">
        <v>2014</v>
      </c>
      <c r="B25" t="s">
        <v>42</v>
      </c>
      <c r="C25">
        <v>56538</v>
      </c>
      <c r="D25">
        <v>4.2699999809265101</v>
      </c>
      <c r="E25">
        <v>9.1309995651245099</v>
      </c>
      <c r="F25">
        <v>9335</v>
      </c>
      <c r="G25">
        <v>9268</v>
      </c>
      <c r="H25">
        <v>67</v>
      </c>
      <c r="I25">
        <v>9301</v>
      </c>
      <c r="J25">
        <v>45</v>
      </c>
      <c r="K25">
        <v>1016</v>
      </c>
      <c r="L25">
        <v>1016</v>
      </c>
      <c r="M25">
        <v>0</v>
      </c>
      <c r="N25">
        <v>55.647998809814403</v>
      </c>
      <c r="O25" s="1">
        <v>4203008</v>
      </c>
      <c r="P25">
        <v>2</v>
      </c>
      <c r="Q25">
        <v>1015</v>
      </c>
      <c r="R25">
        <v>14</v>
      </c>
      <c r="S25" s="2">
        <v>172727720.95100001</v>
      </c>
      <c r="T25">
        <v>158544272</v>
      </c>
      <c r="U25" s="2">
        <v>14183444.311000001</v>
      </c>
      <c r="V25" s="2">
        <v>9219868.1410000008</v>
      </c>
      <c r="W25">
        <v>47.259998321533203</v>
      </c>
      <c r="X25">
        <v>6.6599998474120996</v>
      </c>
      <c r="Y25">
        <v>0.97000002861022905</v>
      </c>
      <c r="Z25">
        <v>45.110000610351499</v>
      </c>
      <c r="AA25">
        <v>3.9999999105930301E-2</v>
      </c>
      <c r="AB25">
        <v>1</v>
      </c>
      <c r="AC25">
        <v>2</v>
      </c>
      <c r="AD25">
        <v>3136</v>
      </c>
      <c r="AE25">
        <v>1</v>
      </c>
      <c r="AF25">
        <v>2</v>
      </c>
      <c r="AG25">
        <v>78</v>
      </c>
      <c r="AH25">
        <v>22</v>
      </c>
      <c r="AI25">
        <v>0</v>
      </c>
      <c r="AJ25">
        <v>278396896</v>
      </c>
      <c r="AK25">
        <v>7657360</v>
      </c>
      <c r="AL25">
        <v>15333847</v>
      </c>
      <c r="AM25">
        <v>90793928</v>
      </c>
      <c r="AN25">
        <v>66894164</v>
      </c>
      <c r="AO25">
        <f>AVERAGE(AO15:AO24,AO26:AO27)</f>
        <v>1568421.75</v>
      </c>
      <c r="AP25">
        <v>112.07</v>
      </c>
      <c r="AQ25">
        <v>4</v>
      </c>
      <c r="AR25">
        <f t="shared" si="0"/>
        <v>26245.901756581017</v>
      </c>
    </row>
    <row r="26" spans="1:44" x14ac:dyDescent="0.3">
      <c r="A26">
        <v>2016</v>
      </c>
      <c r="B26" t="s">
        <v>42</v>
      </c>
      <c r="C26">
        <v>56538</v>
      </c>
      <c r="D26">
        <v>4.2129998207092196</v>
      </c>
      <c r="E26">
        <v>9.6400003433227504</v>
      </c>
      <c r="F26">
        <v>9814</v>
      </c>
      <c r="G26">
        <v>9698</v>
      </c>
      <c r="H26">
        <v>116</v>
      </c>
      <c r="I26">
        <v>9756</v>
      </c>
      <c r="J26">
        <v>44.630001068115199</v>
      </c>
      <c r="K26">
        <v>1017</v>
      </c>
      <c r="L26">
        <v>1017</v>
      </c>
      <c r="M26">
        <v>0</v>
      </c>
      <c r="N26">
        <v>55.592998504638601</v>
      </c>
      <c r="O26" s="1">
        <v>4142837</v>
      </c>
      <c r="P26">
        <v>2</v>
      </c>
      <c r="Q26">
        <v>1017</v>
      </c>
      <c r="R26">
        <v>10</v>
      </c>
      <c r="S26" s="2">
        <v>172342220.74700001</v>
      </c>
      <c r="T26">
        <v>158178032</v>
      </c>
      <c r="U26" s="2">
        <v>14164186.307</v>
      </c>
      <c r="V26" s="2">
        <v>11192872.925000001</v>
      </c>
      <c r="W26">
        <v>48.290000915527301</v>
      </c>
      <c r="X26">
        <v>8.3500003814697195</v>
      </c>
      <c r="Y26">
        <v>0.91000002622604304</v>
      </c>
      <c r="Z26">
        <v>42.450000762939403</v>
      </c>
      <c r="AA26">
        <v>1.9999999552965199E-2</v>
      </c>
      <c r="AB26">
        <v>1</v>
      </c>
      <c r="AC26">
        <v>3</v>
      </c>
      <c r="AD26">
        <v>3180</v>
      </c>
      <c r="AE26">
        <v>1</v>
      </c>
      <c r="AF26">
        <v>2</v>
      </c>
      <c r="AG26">
        <v>79</v>
      </c>
      <c r="AH26">
        <v>21</v>
      </c>
      <c r="AI26">
        <v>0</v>
      </c>
      <c r="AJ26">
        <v>302323168</v>
      </c>
      <c r="AK26">
        <v>6556335</v>
      </c>
      <c r="AL26">
        <v>13523190</v>
      </c>
      <c r="AM26">
        <v>92500144</v>
      </c>
      <c r="AN26">
        <v>64509144</v>
      </c>
      <c r="AO26">
        <v>1001109</v>
      </c>
      <c r="AP26">
        <v>124.14</v>
      </c>
      <c r="AQ26">
        <v>4</v>
      </c>
      <c r="AR26">
        <f t="shared" si="0"/>
        <v>29465.940014946918</v>
      </c>
    </row>
    <row r="27" spans="1:44" x14ac:dyDescent="0.3">
      <c r="A27">
        <v>2017</v>
      </c>
      <c r="B27" t="s">
        <v>42</v>
      </c>
      <c r="C27">
        <v>56538</v>
      </c>
      <c r="D27">
        <v>4.1890001296996999</v>
      </c>
      <c r="E27">
        <v>9.0299997329711896</v>
      </c>
      <c r="F27">
        <v>9825</v>
      </c>
      <c r="G27">
        <v>9794</v>
      </c>
      <c r="H27">
        <v>31</v>
      </c>
      <c r="I27">
        <v>9813</v>
      </c>
      <c r="J27">
        <v>43.009998321533203</v>
      </c>
      <c r="K27">
        <v>1016</v>
      </c>
      <c r="L27">
        <v>1016</v>
      </c>
      <c r="M27">
        <v>0</v>
      </c>
      <c r="N27">
        <v>55.647998809814403</v>
      </c>
      <c r="O27" s="1">
        <v>4123379</v>
      </c>
      <c r="P27">
        <v>2</v>
      </c>
      <c r="Q27">
        <v>1016</v>
      </c>
      <c r="R27">
        <v>10</v>
      </c>
      <c r="S27" s="2">
        <v>183452996.01300001</v>
      </c>
      <c r="T27" s="2">
        <v>165590718.27200001</v>
      </c>
      <c r="U27" s="2">
        <v>17862277.741</v>
      </c>
      <c r="V27" s="2">
        <v>7790939.8669999996</v>
      </c>
      <c r="W27">
        <v>47.7299995422363</v>
      </c>
      <c r="X27">
        <v>9.67000007629394</v>
      </c>
      <c r="Y27">
        <v>1.03999996185302</v>
      </c>
      <c r="Z27">
        <v>41.560001373291001</v>
      </c>
      <c r="AA27">
        <v>3.9999999105930301E-2</v>
      </c>
      <c r="AB27">
        <v>1</v>
      </c>
      <c r="AC27">
        <v>3</v>
      </c>
      <c r="AD27">
        <v>3156</v>
      </c>
      <c r="AE27">
        <v>1</v>
      </c>
      <c r="AF27">
        <v>2</v>
      </c>
      <c r="AG27">
        <v>78</v>
      </c>
      <c r="AH27">
        <v>22</v>
      </c>
      <c r="AI27">
        <v>0</v>
      </c>
      <c r="AJ27">
        <v>286937312</v>
      </c>
      <c r="AK27">
        <v>6585244</v>
      </c>
      <c r="AL27">
        <v>14930481</v>
      </c>
      <c r="AM27">
        <v>83703920</v>
      </c>
      <c r="AN27">
        <v>55122988</v>
      </c>
      <c r="AO27">
        <v>1016253</v>
      </c>
      <c r="AP27">
        <v>122.57</v>
      </c>
      <c r="AQ27">
        <v>4</v>
      </c>
      <c r="AR27">
        <f t="shared" si="0"/>
        <v>29259.965673189599</v>
      </c>
    </row>
    <row r="28" spans="1:44" x14ac:dyDescent="0.3">
      <c r="A28">
        <v>2004</v>
      </c>
      <c r="B28" t="s">
        <v>43</v>
      </c>
      <c r="C28">
        <v>9251</v>
      </c>
      <c r="D28">
        <v>0.82700002193450906</v>
      </c>
      <c r="E28">
        <v>0.66000002622604304</v>
      </c>
      <c r="F28">
        <v>1765</v>
      </c>
      <c r="G28">
        <v>616</v>
      </c>
      <c r="H28">
        <v>1149</v>
      </c>
      <c r="I28">
        <v>942</v>
      </c>
      <c r="J28">
        <v>25</v>
      </c>
      <c r="K28">
        <v>1111</v>
      </c>
      <c r="L28">
        <v>52</v>
      </c>
      <c r="M28">
        <v>1059</v>
      </c>
      <c r="N28">
        <v>8.3269996643066406</v>
      </c>
      <c r="O28" s="1">
        <v>744205</v>
      </c>
      <c r="P28">
        <v>0</v>
      </c>
      <c r="Q28">
        <v>52</v>
      </c>
      <c r="R28">
        <v>1</v>
      </c>
      <c r="S28">
        <v>26264134</v>
      </c>
      <c r="T28" s="2">
        <v>19292816.884</v>
      </c>
      <c r="U28" s="2">
        <v>6971317.5360000003</v>
      </c>
      <c r="V28" s="2">
        <v>23085458.368999999</v>
      </c>
      <c r="W28">
        <v>80.199996948242102</v>
      </c>
      <c r="X28">
        <v>2.20000004768371</v>
      </c>
      <c r="Y28">
        <v>0.10000000149011599</v>
      </c>
      <c r="Z28">
        <v>17.5</v>
      </c>
      <c r="AA28">
        <v>8</v>
      </c>
      <c r="AB28">
        <v>1</v>
      </c>
      <c r="AC28">
        <v>6</v>
      </c>
      <c r="AD28">
        <v>877</v>
      </c>
      <c r="AE28">
        <v>1</v>
      </c>
      <c r="AF28">
        <v>6</v>
      </c>
      <c r="AG28">
        <v>97</v>
      </c>
      <c r="AH28">
        <v>3</v>
      </c>
      <c r="AI28">
        <v>0</v>
      </c>
      <c r="AJ28">
        <v>46382000</v>
      </c>
      <c r="AK28">
        <v>9986770</v>
      </c>
      <c r="AL28">
        <v>12225000</v>
      </c>
      <c r="AM28">
        <v>3981932</v>
      </c>
      <c r="AN28">
        <v>3981932</v>
      </c>
      <c r="AO28">
        <v>43</v>
      </c>
      <c r="AP28">
        <v>29.7</v>
      </c>
      <c r="AQ28">
        <v>4</v>
      </c>
      <c r="AR28">
        <f t="shared" si="0"/>
        <v>35912.937378799696</v>
      </c>
    </row>
    <row r="29" spans="1:44" x14ac:dyDescent="0.3">
      <c r="A29">
        <v>2006</v>
      </c>
      <c r="B29" t="s">
        <v>43</v>
      </c>
      <c r="C29">
        <v>9251</v>
      </c>
      <c r="D29">
        <v>0.846000015735626</v>
      </c>
      <c r="E29">
        <v>0.66100001335143999</v>
      </c>
      <c r="F29">
        <v>1813</v>
      </c>
      <c r="G29">
        <v>619</v>
      </c>
      <c r="H29">
        <v>1194</v>
      </c>
      <c r="I29">
        <v>935</v>
      </c>
      <c r="J29">
        <v>25</v>
      </c>
      <c r="K29">
        <v>1144</v>
      </c>
      <c r="L29">
        <v>52</v>
      </c>
      <c r="M29">
        <v>1092</v>
      </c>
      <c r="N29">
        <v>8.0869998931884695</v>
      </c>
      <c r="O29" s="1">
        <v>739165</v>
      </c>
      <c r="P29">
        <v>0</v>
      </c>
      <c r="Q29">
        <v>52</v>
      </c>
      <c r="R29">
        <v>1</v>
      </c>
      <c r="S29" s="2">
        <v>28108148.899</v>
      </c>
      <c r="T29" s="2">
        <v>22531946.169</v>
      </c>
      <c r="U29">
        <v>5576202.5</v>
      </c>
      <c r="V29">
        <v>23085458.368999999</v>
      </c>
      <c r="W29">
        <v>80.470001220703097</v>
      </c>
      <c r="X29">
        <v>2.5399999618530198</v>
      </c>
      <c r="Y29">
        <v>0.10000000149011599</v>
      </c>
      <c r="Z29">
        <v>16.889999389648398</v>
      </c>
      <c r="AA29">
        <v>5</v>
      </c>
      <c r="AB29">
        <v>1</v>
      </c>
      <c r="AC29">
        <v>6</v>
      </c>
      <c r="AD29">
        <v>970</v>
      </c>
      <c r="AE29">
        <v>1</v>
      </c>
      <c r="AF29">
        <v>6</v>
      </c>
      <c r="AG29">
        <v>97</v>
      </c>
      <c r="AH29">
        <v>3</v>
      </c>
      <c r="AI29">
        <v>0</v>
      </c>
      <c r="AJ29">
        <v>50700000</v>
      </c>
      <c r="AK29">
        <v>9050000</v>
      </c>
      <c r="AL29">
        <v>12734000</v>
      </c>
      <c r="AM29">
        <v>9893581</v>
      </c>
      <c r="AN29">
        <v>9893581</v>
      </c>
      <c r="AO29">
        <v>186</v>
      </c>
      <c r="AP29">
        <v>32.200000000000003</v>
      </c>
      <c r="AQ29">
        <v>4</v>
      </c>
      <c r="AR29">
        <f t="shared" si="0"/>
        <v>38061.465013095774</v>
      </c>
    </row>
    <row r="30" spans="1:44" x14ac:dyDescent="0.3">
      <c r="A30">
        <v>2007</v>
      </c>
      <c r="B30" t="s">
        <v>43</v>
      </c>
      <c r="C30">
        <v>9251</v>
      </c>
      <c r="D30">
        <v>1.06299996376037</v>
      </c>
      <c r="E30">
        <v>0.62800002098083396</v>
      </c>
      <c r="F30">
        <v>1813</v>
      </c>
      <c r="G30">
        <v>612</v>
      </c>
      <c r="H30">
        <v>1201</v>
      </c>
      <c r="I30">
        <v>942</v>
      </c>
      <c r="J30">
        <v>25</v>
      </c>
      <c r="K30">
        <v>1152</v>
      </c>
      <c r="L30">
        <v>53</v>
      </c>
      <c r="M30">
        <v>1099</v>
      </c>
      <c r="N30">
        <v>8.0299997329711896</v>
      </c>
      <c r="O30" s="1">
        <v>922766</v>
      </c>
      <c r="P30">
        <v>0</v>
      </c>
      <c r="Q30">
        <v>53</v>
      </c>
      <c r="R30">
        <v>1</v>
      </c>
      <c r="S30" s="2">
        <v>31523738.337000001</v>
      </c>
      <c r="T30" s="2">
        <v>23794771.410999998</v>
      </c>
      <c r="U30" s="2">
        <v>7728966.926</v>
      </c>
      <c r="V30">
        <v>23085458.368999999</v>
      </c>
      <c r="W30">
        <v>85.160003662109304</v>
      </c>
      <c r="X30">
        <v>10.9799995422363</v>
      </c>
      <c r="Y30">
        <v>0.40000000596046398</v>
      </c>
      <c r="Z30">
        <v>3.46000003814697</v>
      </c>
      <c r="AA30">
        <f>AVERAGE(AA28:AA29)</f>
        <v>6.5</v>
      </c>
      <c r="AB30">
        <v>1</v>
      </c>
      <c r="AC30">
        <v>6</v>
      </c>
      <c r="AD30">
        <v>970</v>
      </c>
      <c r="AE30">
        <v>1</v>
      </c>
      <c r="AF30">
        <v>6</v>
      </c>
      <c r="AG30">
        <v>97</v>
      </c>
      <c r="AH30">
        <v>3</v>
      </c>
      <c r="AI30">
        <v>0</v>
      </c>
      <c r="AJ30">
        <v>43502616</v>
      </c>
      <c r="AK30">
        <v>9650600</v>
      </c>
      <c r="AL30">
        <v>11915600</v>
      </c>
      <c r="AM30">
        <v>10401646</v>
      </c>
      <c r="AN30">
        <v>10401646</v>
      </c>
      <c r="AO30">
        <v>151</v>
      </c>
      <c r="AP30">
        <v>30.7</v>
      </c>
      <c r="AQ30">
        <v>4</v>
      </c>
      <c r="AR30">
        <f t="shared" si="0"/>
        <v>28880.527795502956</v>
      </c>
    </row>
    <row r="31" spans="1:44" x14ac:dyDescent="0.3">
      <c r="A31">
        <v>2008</v>
      </c>
      <c r="B31" t="s">
        <v>43</v>
      </c>
      <c r="C31">
        <v>9251</v>
      </c>
      <c r="D31">
        <v>1.0770000219345</v>
      </c>
      <c r="E31">
        <v>1.10699999332427</v>
      </c>
      <c r="F31">
        <v>1851</v>
      </c>
      <c r="G31">
        <v>642</v>
      </c>
      <c r="H31">
        <v>1209</v>
      </c>
      <c r="I31">
        <v>971</v>
      </c>
      <c r="J31">
        <v>25</v>
      </c>
      <c r="K31">
        <v>1146</v>
      </c>
      <c r="L31">
        <v>53</v>
      </c>
      <c r="M31">
        <v>1093</v>
      </c>
      <c r="N31">
        <v>8.0719995498657209</v>
      </c>
      <c r="O31" s="1">
        <v>939791</v>
      </c>
      <c r="P31">
        <v>0</v>
      </c>
      <c r="Q31">
        <v>53</v>
      </c>
      <c r="R31">
        <v>1</v>
      </c>
      <c r="S31">
        <v>30799662</v>
      </c>
      <c r="T31" s="2">
        <v>23832205.059</v>
      </c>
      <c r="U31" s="2">
        <v>6967457.091</v>
      </c>
      <c r="V31">
        <v>23085458.368999999</v>
      </c>
      <c r="W31">
        <v>85.25</v>
      </c>
      <c r="X31">
        <v>11.7399997711181</v>
      </c>
      <c r="Y31">
        <v>0.109999999403954</v>
      </c>
      <c r="Z31">
        <v>2.9000000953674299</v>
      </c>
      <c r="AA31">
        <f>AVERAGE(AA28:AA29)</f>
        <v>6.5</v>
      </c>
      <c r="AB31">
        <v>1</v>
      </c>
      <c r="AC31">
        <v>6</v>
      </c>
      <c r="AD31">
        <v>968</v>
      </c>
      <c r="AE31">
        <v>1</v>
      </c>
      <c r="AF31">
        <v>6</v>
      </c>
      <c r="AG31">
        <v>97</v>
      </c>
      <c r="AH31">
        <v>3</v>
      </c>
      <c r="AI31">
        <v>0</v>
      </c>
      <c r="AJ31">
        <v>48952904</v>
      </c>
      <c r="AK31">
        <v>10234200</v>
      </c>
      <c r="AL31">
        <v>12453300</v>
      </c>
      <c r="AM31">
        <v>10467797</v>
      </c>
      <c r="AN31">
        <v>10467797</v>
      </c>
      <c r="AO31">
        <v>139</v>
      </c>
      <c r="AP31">
        <v>31.8</v>
      </c>
      <c r="AQ31">
        <v>0</v>
      </c>
      <c r="AR31">
        <f t="shared" si="0"/>
        <v>29526.461794198538</v>
      </c>
    </row>
    <row r="32" spans="1:44" x14ac:dyDescent="0.3">
      <c r="A32">
        <v>2009</v>
      </c>
      <c r="B32" t="s">
        <v>43</v>
      </c>
      <c r="C32">
        <v>9251</v>
      </c>
      <c r="D32">
        <v>1.0900000333786</v>
      </c>
      <c r="E32">
        <v>1.0880000591278001</v>
      </c>
      <c r="F32">
        <v>1767</v>
      </c>
      <c r="G32">
        <v>707</v>
      </c>
      <c r="H32">
        <v>1060</v>
      </c>
      <c r="I32">
        <v>980</v>
      </c>
      <c r="J32">
        <v>31</v>
      </c>
      <c r="K32">
        <v>1161</v>
      </c>
      <c r="L32">
        <v>54</v>
      </c>
      <c r="M32">
        <v>1107</v>
      </c>
      <c r="N32">
        <v>7.9679999351501403</v>
      </c>
      <c r="O32" s="1">
        <v>939253</v>
      </c>
      <c r="P32">
        <v>0</v>
      </c>
      <c r="Q32">
        <v>54</v>
      </c>
      <c r="R32">
        <v>1</v>
      </c>
      <c r="S32" s="2">
        <v>30375317.037</v>
      </c>
      <c r="T32" s="2">
        <v>26232967.285</v>
      </c>
      <c r="U32" s="2">
        <v>4142349.7519999999</v>
      </c>
      <c r="V32">
        <v>23085458.368999999</v>
      </c>
      <c r="W32">
        <v>82.629997253417898</v>
      </c>
      <c r="X32">
        <v>13.920000076293899</v>
      </c>
      <c r="Y32">
        <v>0.129999995231628</v>
      </c>
      <c r="Z32">
        <v>3.3199999332427899</v>
      </c>
      <c r="AA32">
        <v>0.97000002861022905</v>
      </c>
      <c r="AB32">
        <v>1</v>
      </c>
      <c r="AC32">
        <v>5</v>
      </c>
      <c r="AD32">
        <v>1002</v>
      </c>
      <c r="AE32">
        <v>1</v>
      </c>
      <c r="AF32">
        <v>5</v>
      </c>
      <c r="AG32">
        <v>98</v>
      </c>
      <c r="AH32">
        <v>2</v>
      </c>
      <c r="AI32">
        <v>0</v>
      </c>
      <c r="AJ32">
        <v>56687232</v>
      </c>
      <c r="AK32">
        <v>5259938</v>
      </c>
      <c r="AL32">
        <v>12816247</v>
      </c>
      <c r="AM32">
        <v>10989473</v>
      </c>
      <c r="AN32">
        <v>10989473</v>
      </c>
      <c r="AO32">
        <v>233</v>
      </c>
      <c r="AP32">
        <v>30.7</v>
      </c>
      <c r="AQ32">
        <v>0</v>
      </c>
      <c r="AR32">
        <f t="shared" si="0"/>
        <v>28165.136752190061</v>
      </c>
    </row>
    <row r="33" spans="1:44" x14ac:dyDescent="0.3">
      <c r="A33">
        <v>2010</v>
      </c>
      <c r="B33" t="s">
        <v>43</v>
      </c>
      <c r="C33">
        <v>9251</v>
      </c>
      <c r="D33">
        <v>1.1039999723434399</v>
      </c>
      <c r="E33">
        <v>1.15999996662139</v>
      </c>
      <c r="F33">
        <v>1735</v>
      </c>
      <c r="G33">
        <v>689</v>
      </c>
      <c r="H33">
        <v>1046</v>
      </c>
      <c r="I33">
        <v>961</v>
      </c>
      <c r="J33">
        <v>34</v>
      </c>
      <c r="K33">
        <v>1094</v>
      </c>
      <c r="L33">
        <v>55</v>
      </c>
      <c r="M33">
        <v>1039</v>
      </c>
      <c r="N33">
        <v>8.4560003280639595</v>
      </c>
      <c r="O33" s="1">
        <v>1008818</v>
      </c>
      <c r="P33">
        <v>0</v>
      </c>
      <c r="Q33">
        <v>55</v>
      </c>
      <c r="R33">
        <v>1</v>
      </c>
      <c r="S33" s="2">
        <v>31428087.543000001</v>
      </c>
      <c r="T33" s="2">
        <v>25392127.864999998</v>
      </c>
      <c r="U33" s="2">
        <v>6035959.6780000003</v>
      </c>
      <c r="V33">
        <v>23085458.368999999</v>
      </c>
      <c r="W33">
        <v>84.400001525878906</v>
      </c>
      <c r="X33">
        <v>12.3500003814697</v>
      </c>
      <c r="Y33">
        <v>0.119999997317791</v>
      </c>
      <c r="Z33">
        <v>3.13000011444091</v>
      </c>
      <c r="AA33">
        <v>1.3999999761581401</v>
      </c>
      <c r="AB33">
        <v>1</v>
      </c>
      <c r="AC33">
        <v>5</v>
      </c>
      <c r="AD33">
        <v>995</v>
      </c>
      <c r="AE33">
        <v>1</v>
      </c>
      <c r="AF33">
        <v>5</v>
      </c>
      <c r="AG33">
        <v>98</v>
      </c>
      <c r="AH33">
        <v>2</v>
      </c>
      <c r="AI33">
        <v>0</v>
      </c>
      <c r="AJ33">
        <v>59526664</v>
      </c>
      <c r="AK33">
        <v>4800042</v>
      </c>
      <c r="AL33">
        <v>12198323</v>
      </c>
      <c r="AM33">
        <v>9623022</v>
      </c>
      <c r="AN33">
        <v>9623022</v>
      </c>
      <c r="AO33">
        <v>3111</v>
      </c>
      <c r="AP33">
        <v>39.799999999999997</v>
      </c>
      <c r="AQ33">
        <v>1</v>
      </c>
      <c r="AR33">
        <f t="shared" si="0"/>
        <v>36050.725540796244</v>
      </c>
    </row>
    <row r="34" spans="1:44" x14ac:dyDescent="0.3">
      <c r="A34">
        <v>2011</v>
      </c>
      <c r="B34" t="s">
        <v>43</v>
      </c>
      <c r="C34">
        <v>9251</v>
      </c>
      <c r="D34">
        <v>1.11699998378753</v>
      </c>
      <c r="E34">
        <v>1.18700003623962</v>
      </c>
      <c r="F34">
        <v>1748</v>
      </c>
      <c r="G34">
        <v>714</v>
      </c>
      <c r="H34">
        <v>1034</v>
      </c>
      <c r="I34">
        <v>1035</v>
      </c>
      <c r="J34">
        <v>33</v>
      </c>
      <c r="K34">
        <v>1082</v>
      </c>
      <c r="L34">
        <v>56</v>
      </c>
      <c r="M34">
        <v>1026</v>
      </c>
      <c r="N34">
        <v>8.5500001907348597</v>
      </c>
      <c r="O34" s="1">
        <v>1031945</v>
      </c>
      <c r="P34">
        <v>0</v>
      </c>
      <c r="Q34">
        <v>56</v>
      </c>
      <c r="R34">
        <v>1</v>
      </c>
      <c r="S34" s="2">
        <v>27540871.103999998</v>
      </c>
      <c r="T34">
        <v>24600578</v>
      </c>
      <c r="U34" s="2">
        <v>2940292.3339999998</v>
      </c>
      <c r="V34">
        <v>23085458.368999999</v>
      </c>
      <c r="W34">
        <v>81.690002441406193</v>
      </c>
      <c r="X34">
        <v>14.4799995422363</v>
      </c>
      <c r="Y34">
        <v>0.119999997317791</v>
      </c>
      <c r="Z34">
        <v>3.71000003814697</v>
      </c>
      <c r="AA34">
        <v>1.29999995231628</v>
      </c>
      <c r="AB34">
        <v>1</v>
      </c>
      <c r="AC34">
        <v>5</v>
      </c>
      <c r="AD34">
        <v>1000</v>
      </c>
      <c r="AE34">
        <v>1</v>
      </c>
      <c r="AF34">
        <v>5</v>
      </c>
      <c r="AG34">
        <v>98</v>
      </c>
      <c r="AH34">
        <v>2</v>
      </c>
      <c r="AI34">
        <v>0</v>
      </c>
      <c r="AJ34">
        <v>58787116</v>
      </c>
      <c r="AK34">
        <v>3999907</v>
      </c>
      <c r="AL34">
        <v>9904726</v>
      </c>
      <c r="AM34">
        <v>7493430</v>
      </c>
      <c r="AN34">
        <v>7493430</v>
      </c>
      <c r="AO34">
        <v>2398</v>
      </c>
      <c r="AP34">
        <v>32.700000000000003</v>
      </c>
      <c r="AQ34">
        <v>1</v>
      </c>
      <c r="AR34">
        <f t="shared" si="0"/>
        <v>29274.843755252939</v>
      </c>
    </row>
    <row r="35" spans="1:44" x14ac:dyDescent="0.3">
      <c r="A35">
        <v>2012</v>
      </c>
      <c r="B35" t="s">
        <v>43</v>
      </c>
      <c r="C35">
        <v>9251</v>
      </c>
      <c r="D35">
        <v>1.12899994850158</v>
      </c>
      <c r="E35">
        <v>1.16499996185302</v>
      </c>
      <c r="F35">
        <f>AVERAGE(F28:F34,F36:F40)</f>
        <v>1489.1666666666667</v>
      </c>
      <c r="G35">
        <v>677</v>
      </c>
      <c r="H35">
        <f>AVERAGE(H28:H34,H36:H40)</f>
        <v>835.75</v>
      </c>
      <c r="I35">
        <v>960</v>
      </c>
      <c r="J35">
        <v>37</v>
      </c>
      <c r="K35">
        <v>1128</v>
      </c>
      <c r="L35">
        <v>56</v>
      </c>
      <c r="M35">
        <v>1072</v>
      </c>
      <c r="N35">
        <v>8.2010002136230398</v>
      </c>
      <c r="O35" s="1">
        <v>1001034</v>
      </c>
      <c r="P35">
        <v>0</v>
      </c>
      <c r="Q35">
        <v>56</v>
      </c>
      <c r="R35">
        <v>1</v>
      </c>
      <c r="S35" s="2">
        <v>26246653.219000001</v>
      </c>
      <c r="T35" s="2">
        <v>26246653.219000001</v>
      </c>
      <c r="U35">
        <v>0</v>
      </c>
      <c r="V35" s="2">
        <v>23085458.368999999</v>
      </c>
      <c r="W35">
        <v>78.230003356933494</v>
      </c>
      <c r="X35">
        <v>18</v>
      </c>
      <c r="Y35">
        <v>0.109999999403954</v>
      </c>
      <c r="Z35">
        <v>3.66000008583068</v>
      </c>
      <c r="AA35">
        <v>1.3999999761581401</v>
      </c>
      <c r="AB35">
        <v>1</v>
      </c>
      <c r="AC35">
        <v>5</v>
      </c>
      <c r="AD35">
        <v>1040</v>
      </c>
      <c r="AE35">
        <v>1</v>
      </c>
      <c r="AF35">
        <v>5</v>
      </c>
      <c r="AG35">
        <v>98</v>
      </c>
      <c r="AH35">
        <v>2</v>
      </c>
      <c r="AI35">
        <v>0</v>
      </c>
      <c r="AJ35">
        <v>51885588</v>
      </c>
      <c r="AK35">
        <v>4242547</v>
      </c>
      <c r="AL35">
        <v>6457319</v>
      </c>
      <c r="AM35">
        <v>3962374</v>
      </c>
      <c r="AN35">
        <v>3962374</v>
      </c>
      <c r="AO35">
        <v>1273</v>
      </c>
      <c r="AP35">
        <v>26.89</v>
      </c>
      <c r="AQ35">
        <v>2</v>
      </c>
      <c r="AR35">
        <f t="shared" si="0"/>
        <v>23817.53873035041</v>
      </c>
    </row>
    <row r="36" spans="1:44" x14ac:dyDescent="0.3">
      <c r="A36">
        <v>2013</v>
      </c>
      <c r="B36" t="s">
        <v>43</v>
      </c>
      <c r="C36">
        <v>9251</v>
      </c>
      <c r="D36">
        <v>1.1410000324249201</v>
      </c>
      <c r="E36">
        <v>1.11699998378753</v>
      </c>
      <c r="F36">
        <v>1749</v>
      </c>
      <c r="G36">
        <v>663</v>
      </c>
      <c r="H36">
        <v>1086</v>
      </c>
      <c r="I36">
        <v>946</v>
      </c>
      <c r="J36">
        <v>37</v>
      </c>
      <c r="K36">
        <v>1134</v>
      </c>
      <c r="L36">
        <v>56</v>
      </c>
      <c r="M36">
        <v>1078</v>
      </c>
      <c r="N36">
        <v>8.1579999923706001</v>
      </c>
      <c r="O36" s="1">
        <v>1006319</v>
      </c>
      <c r="P36">
        <v>0</v>
      </c>
      <c r="Q36">
        <v>56</v>
      </c>
      <c r="R36">
        <v>1</v>
      </c>
      <c r="S36" s="2">
        <v>26476147.717</v>
      </c>
      <c r="T36" s="2">
        <v>22433010.743000001</v>
      </c>
      <c r="U36" s="2">
        <v>4043136.9739999999</v>
      </c>
      <c r="V36">
        <v>23085458.368999999</v>
      </c>
      <c r="W36">
        <v>79.739997863769503</v>
      </c>
      <c r="X36">
        <v>15.619999885559</v>
      </c>
      <c r="Y36">
        <v>0.10000000149011599</v>
      </c>
      <c r="Z36">
        <v>4.5399999618530202</v>
      </c>
      <c r="AA36">
        <v>1.1000000238418499</v>
      </c>
      <c r="AB36">
        <v>1</v>
      </c>
      <c r="AC36">
        <v>5</v>
      </c>
      <c r="AD36">
        <v>1005</v>
      </c>
      <c r="AE36">
        <v>1</v>
      </c>
      <c r="AF36">
        <v>5</v>
      </c>
      <c r="AG36">
        <v>98</v>
      </c>
      <c r="AH36">
        <v>2</v>
      </c>
      <c r="AI36">
        <v>0</v>
      </c>
      <c r="AJ36">
        <v>47394944</v>
      </c>
      <c r="AK36">
        <v>3421215</v>
      </c>
      <c r="AL36">
        <v>6258545</v>
      </c>
      <c r="AM36">
        <v>2708714</v>
      </c>
      <c r="AN36">
        <v>2708714</v>
      </c>
      <c r="AO36">
        <v>473</v>
      </c>
      <c r="AP36">
        <v>25.1</v>
      </c>
      <c r="AQ36">
        <v>2</v>
      </c>
      <c r="AR36">
        <f t="shared" si="0"/>
        <v>21998.246526475563</v>
      </c>
    </row>
    <row r="37" spans="1:44" x14ac:dyDescent="0.3">
      <c r="A37">
        <v>2014</v>
      </c>
      <c r="B37" t="s">
        <v>43</v>
      </c>
      <c r="C37">
        <v>9251</v>
      </c>
      <c r="D37">
        <v>1.1239999532699501</v>
      </c>
      <c r="E37">
        <v>1.192999958992</v>
      </c>
      <c r="F37">
        <v>1682</v>
      </c>
      <c r="G37">
        <v>671</v>
      </c>
      <c r="H37">
        <v>1011</v>
      </c>
      <c r="I37">
        <v>943</v>
      </c>
      <c r="J37">
        <v>33</v>
      </c>
      <c r="K37">
        <v>1057</v>
      </c>
      <c r="L37">
        <v>54</v>
      </c>
      <c r="M37">
        <v>1003</v>
      </c>
      <c r="N37">
        <v>8.7519998550415004</v>
      </c>
      <c r="O37" s="1">
        <v>1063662</v>
      </c>
      <c r="P37">
        <v>0</v>
      </c>
      <c r="Q37">
        <v>54</v>
      </c>
      <c r="R37">
        <v>1</v>
      </c>
      <c r="S37" s="2">
        <v>23789072.925000001</v>
      </c>
      <c r="T37" s="2">
        <v>20201880.971999999</v>
      </c>
      <c r="U37" s="2">
        <v>3587191.9530000002</v>
      </c>
      <c r="V37">
        <v>23085458.368999999</v>
      </c>
      <c r="W37">
        <v>79.940002441406193</v>
      </c>
      <c r="X37">
        <v>15.4899997711181</v>
      </c>
      <c r="Y37">
        <v>0.119999997317791</v>
      </c>
      <c r="Z37">
        <v>4.4499998092651296</v>
      </c>
      <c r="AA37">
        <v>1.29999995231628</v>
      </c>
      <c r="AB37">
        <v>1</v>
      </c>
      <c r="AC37">
        <v>5</v>
      </c>
      <c r="AD37">
        <v>953</v>
      </c>
      <c r="AE37">
        <v>1</v>
      </c>
      <c r="AF37">
        <v>5</v>
      </c>
      <c r="AG37">
        <v>98</v>
      </c>
      <c r="AH37">
        <v>2</v>
      </c>
      <c r="AI37">
        <v>0</v>
      </c>
      <c r="AJ37">
        <v>47970824</v>
      </c>
      <c r="AK37">
        <v>2772824</v>
      </c>
      <c r="AL37">
        <v>5583753</v>
      </c>
      <c r="AM37">
        <v>2614443</v>
      </c>
      <c r="AN37">
        <v>2614443</v>
      </c>
      <c r="AO37">
        <v>452</v>
      </c>
      <c r="AP37">
        <v>24.1</v>
      </c>
      <c r="AQ37">
        <v>3</v>
      </c>
      <c r="AR37">
        <f t="shared" si="0"/>
        <v>21441.282030206567</v>
      </c>
    </row>
    <row r="38" spans="1:44" x14ac:dyDescent="0.3">
      <c r="A38">
        <v>2015</v>
      </c>
      <c r="B38" t="s">
        <v>43</v>
      </c>
      <c r="C38">
        <v>9251</v>
      </c>
      <c r="D38">
        <v>1.16499996185302</v>
      </c>
      <c r="E38">
        <v>1.2699999809265099</v>
      </c>
      <c r="F38">
        <v>647</v>
      </c>
      <c r="G38">
        <v>634</v>
      </c>
      <c r="H38">
        <v>13</v>
      </c>
      <c r="I38">
        <v>639</v>
      </c>
      <c r="J38">
        <v>32</v>
      </c>
      <c r="K38">
        <v>1097</v>
      </c>
      <c r="L38">
        <v>55</v>
      </c>
      <c r="M38">
        <v>1042</v>
      </c>
      <c r="N38">
        <v>8.43299961090087</v>
      </c>
      <c r="O38" s="1">
        <v>1062261</v>
      </c>
      <c r="P38">
        <v>734</v>
      </c>
      <c r="Q38">
        <v>51</v>
      </c>
      <c r="R38">
        <v>1</v>
      </c>
      <c r="S38" s="2">
        <v>21870416.535</v>
      </c>
      <c r="T38" s="2">
        <v>18581590.550999999</v>
      </c>
      <c r="U38" s="2">
        <v>3288825.9840000002</v>
      </c>
      <c r="V38">
        <v>23085458.368999999</v>
      </c>
      <c r="W38">
        <v>79.680000305175696</v>
      </c>
      <c r="X38">
        <v>15.5100002288818</v>
      </c>
      <c r="Y38">
        <v>0.129999995231628</v>
      </c>
      <c r="Z38">
        <v>4.6799998283386204</v>
      </c>
      <c r="AA38">
        <v>1.3999999761581401</v>
      </c>
      <c r="AB38">
        <v>1</v>
      </c>
      <c r="AC38">
        <v>5</v>
      </c>
      <c r="AD38">
        <v>862</v>
      </c>
      <c r="AE38">
        <v>1</v>
      </c>
      <c r="AF38">
        <v>5</v>
      </c>
      <c r="AG38">
        <v>98</v>
      </c>
      <c r="AH38">
        <v>2</v>
      </c>
      <c r="AI38">
        <v>0</v>
      </c>
      <c r="AJ38">
        <v>43391528</v>
      </c>
      <c r="AK38">
        <v>1701813</v>
      </c>
      <c r="AL38">
        <v>4614429</v>
      </c>
      <c r="AM38">
        <v>2293354</v>
      </c>
      <c r="AN38">
        <v>2293354</v>
      </c>
      <c r="AO38">
        <v>1025</v>
      </c>
      <c r="AP38">
        <v>25.5</v>
      </c>
      <c r="AQ38">
        <v>3</v>
      </c>
      <c r="AR38">
        <f t="shared" si="0"/>
        <v>21888.4127338857</v>
      </c>
    </row>
    <row r="39" spans="1:44" x14ac:dyDescent="0.3">
      <c r="A39">
        <v>2016</v>
      </c>
      <c r="B39" t="s">
        <v>43</v>
      </c>
      <c r="C39">
        <v>9251</v>
      </c>
      <c r="D39">
        <v>1.16999995708465</v>
      </c>
      <c r="E39">
        <v>1.2799999713897701</v>
      </c>
      <c r="F39">
        <v>650</v>
      </c>
      <c r="G39">
        <v>637</v>
      </c>
      <c r="H39">
        <v>13</v>
      </c>
      <c r="I39">
        <v>640</v>
      </c>
      <c r="J39">
        <v>33</v>
      </c>
      <c r="K39">
        <v>1097</v>
      </c>
      <c r="L39">
        <v>55</v>
      </c>
      <c r="M39">
        <v>1042</v>
      </c>
      <c r="N39">
        <v>8.43299961090087</v>
      </c>
      <c r="O39" s="1">
        <v>1066659</v>
      </c>
      <c r="P39">
        <v>734</v>
      </c>
      <c r="Q39">
        <v>51</v>
      </c>
      <c r="R39">
        <v>1</v>
      </c>
      <c r="S39" s="2">
        <v>21198944.530999999</v>
      </c>
      <c r="T39" s="2">
        <v>17724678.125</v>
      </c>
      <c r="U39" s="2">
        <v>3474266.406</v>
      </c>
      <c r="V39">
        <v>23085458.368999999</v>
      </c>
      <c r="W39">
        <v>80.150001525878906</v>
      </c>
      <c r="X39">
        <v>15.199999809265099</v>
      </c>
      <c r="Y39">
        <v>0.109999999403954</v>
      </c>
      <c r="Z39">
        <v>4.5399999618530202</v>
      </c>
      <c r="AA39">
        <v>1</v>
      </c>
      <c r="AB39">
        <v>1</v>
      </c>
      <c r="AC39">
        <v>5</v>
      </c>
      <c r="AD39">
        <v>862</v>
      </c>
      <c r="AE39">
        <v>1</v>
      </c>
      <c r="AF39">
        <v>5</v>
      </c>
      <c r="AG39">
        <v>98</v>
      </c>
      <c r="AH39">
        <v>2</v>
      </c>
      <c r="AI39">
        <v>0</v>
      </c>
      <c r="AJ39">
        <v>42859088</v>
      </c>
      <c r="AK39">
        <v>1664836</v>
      </c>
      <c r="AL39">
        <v>4383782</v>
      </c>
      <c r="AM39">
        <v>2582983</v>
      </c>
      <c r="AN39">
        <v>2582983</v>
      </c>
      <c r="AO39">
        <v>739</v>
      </c>
      <c r="AP39">
        <v>23.01</v>
      </c>
      <c r="AQ39">
        <v>3</v>
      </c>
      <c r="AR39">
        <f t="shared" si="0"/>
        <v>19666.667388035825</v>
      </c>
    </row>
    <row r="40" spans="1:44" x14ac:dyDescent="0.3">
      <c r="A40">
        <v>2017</v>
      </c>
      <c r="B40" t="s">
        <v>43</v>
      </c>
      <c r="C40">
        <v>9251</v>
      </c>
      <c r="D40">
        <v>1.1799999475479099</v>
      </c>
      <c r="E40">
        <v>1.20000004768371</v>
      </c>
      <c r="F40">
        <v>650</v>
      </c>
      <c r="G40">
        <v>637</v>
      </c>
      <c r="H40">
        <v>13</v>
      </c>
      <c r="I40">
        <v>640</v>
      </c>
      <c r="J40">
        <v>33</v>
      </c>
      <c r="K40">
        <v>1097</v>
      </c>
      <c r="L40">
        <v>55</v>
      </c>
      <c r="M40">
        <v>1042</v>
      </c>
      <c r="N40">
        <v>8.43299961090087</v>
      </c>
      <c r="O40" s="1">
        <v>1075252</v>
      </c>
      <c r="P40">
        <v>734</v>
      </c>
      <c r="Q40">
        <v>51</v>
      </c>
      <c r="R40">
        <v>1</v>
      </c>
      <c r="S40" s="2">
        <v>22766645.833000001</v>
      </c>
      <c r="T40" s="2">
        <v>19461931.666999999</v>
      </c>
      <c r="U40" s="2">
        <v>3304714.1660000002</v>
      </c>
      <c r="V40">
        <v>23085458.368999999</v>
      </c>
      <c r="W40">
        <v>77.440002441406193</v>
      </c>
      <c r="X40">
        <v>16.190000534057599</v>
      </c>
      <c r="Y40">
        <v>0.10000000149011599</v>
      </c>
      <c r="Z40">
        <v>6.2699999809265101</v>
      </c>
      <c r="AA40">
        <f>AVERAGE(AA28:AA39)</f>
        <v>2.9891666571299211</v>
      </c>
      <c r="AB40">
        <v>1</v>
      </c>
      <c r="AC40">
        <v>5</v>
      </c>
      <c r="AD40">
        <v>862</v>
      </c>
      <c r="AE40">
        <v>1</v>
      </c>
      <c r="AF40">
        <v>5</v>
      </c>
      <c r="AG40">
        <v>98</v>
      </c>
      <c r="AH40">
        <v>2</v>
      </c>
      <c r="AI40">
        <v>0</v>
      </c>
      <c r="AJ40">
        <v>41655616</v>
      </c>
      <c r="AK40">
        <v>1759132</v>
      </c>
      <c r="AL40">
        <v>5284742</v>
      </c>
      <c r="AM40">
        <v>350756</v>
      </c>
      <c r="AN40">
        <v>350756</v>
      </c>
      <c r="AO40">
        <v>670</v>
      </c>
      <c r="AP40">
        <v>22.9</v>
      </c>
      <c r="AQ40">
        <v>4</v>
      </c>
      <c r="AR40">
        <f t="shared" si="0"/>
        <v>19406.780523666272</v>
      </c>
    </row>
    <row r="41" spans="1:44" x14ac:dyDescent="0.3">
      <c r="A41">
        <v>2004</v>
      </c>
      <c r="B41" t="s">
        <v>44</v>
      </c>
      <c r="C41">
        <v>78866</v>
      </c>
      <c r="D41">
        <v>10.194999694824199</v>
      </c>
      <c r="E41">
        <v>34.733001708984297</v>
      </c>
      <c r="F41">
        <v>40446</v>
      </c>
      <c r="G41">
        <v>30603</v>
      </c>
      <c r="H41">
        <v>9843</v>
      </c>
      <c r="I41">
        <v>38303</v>
      </c>
      <c r="J41">
        <v>80</v>
      </c>
      <c r="K41">
        <v>3419</v>
      </c>
      <c r="L41">
        <v>3405</v>
      </c>
      <c r="M41">
        <v>14</v>
      </c>
      <c r="N41">
        <v>23.066999435424801</v>
      </c>
      <c r="O41" s="1">
        <v>2981723</v>
      </c>
      <c r="P41">
        <v>10370</v>
      </c>
      <c r="Q41">
        <v>3360</v>
      </c>
      <c r="R41">
        <v>14</v>
      </c>
      <c r="S41" s="2">
        <v>464662770.27600002</v>
      </c>
      <c r="T41" s="2">
        <v>450892091.09500003</v>
      </c>
      <c r="U41" s="2">
        <v>13770679.181</v>
      </c>
      <c r="V41" s="2">
        <v>12800477.932</v>
      </c>
      <c r="W41">
        <v>39.810001373291001</v>
      </c>
      <c r="X41">
        <v>9.1499996185302699</v>
      </c>
      <c r="Y41">
        <v>26.9300003051757</v>
      </c>
      <c r="Z41">
        <v>24.110000610351499</v>
      </c>
      <c r="AA41">
        <v>0.25</v>
      </c>
      <c r="AB41">
        <v>2</v>
      </c>
      <c r="AC41">
        <v>5</v>
      </c>
      <c r="AD41">
        <v>24154</v>
      </c>
      <c r="AE41">
        <v>1</v>
      </c>
      <c r="AF41">
        <v>5</v>
      </c>
      <c r="AG41">
        <v>99.879997253417898</v>
      </c>
      <c r="AH41">
        <v>0</v>
      </c>
      <c r="AI41">
        <v>0.119999997317791</v>
      </c>
      <c r="AJ41">
        <v>3076935936</v>
      </c>
      <c r="AK41">
        <v>26735844</v>
      </c>
      <c r="AL41">
        <v>52454596</v>
      </c>
      <c r="AM41">
        <v>2374944512</v>
      </c>
      <c r="AN41">
        <f>AVERAGE(AN43:AN47)</f>
        <v>340999059.86999971</v>
      </c>
      <c r="AO41">
        <v>1502667</v>
      </c>
      <c r="AP41">
        <v>396.4</v>
      </c>
      <c r="AQ41">
        <v>4</v>
      </c>
      <c r="AR41">
        <f t="shared" si="0"/>
        <v>38881.805970160494</v>
      </c>
    </row>
    <row r="42" spans="1:44" x14ac:dyDescent="0.3">
      <c r="A42">
        <v>2005</v>
      </c>
      <c r="B42" t="s">
        <v>44</v>
      </c>
      <c r="C42">
        <v>78866</v>
      </c>
      <c r="D42">
        <v>10.1920003890991</v>
      </c>
      <c r="E42">
        <v>35.143001556396399</v>
      </c>
      <c r="F42">
        <v>39299</v>
      </c>
      <c r="G42">
        <v>30566</v>
      </c>
      <c r="H42">
        <v>8733</v>
      </c>
      <c r="I42">
        <v>37677</v>
      </c>
      <c r="J42">
        <v>79.940002441406193</v>
      </c>
      <c r="K42">
        <v>3416</v>
      </c>
      <c r="L42">
        <v>3401</v>
      </c>
      <c r="M42">
        <v>15</v>
      </c>
      <c r="N42">
        <v>23.086999893188398</v>
      </c>
      <c r="O42" s="1">
        <v>2983537</v>
      </c>
      <c r="P42">
        <v>10351</v>
      </c>
      <c r="Q42">
        <v>3366</v>
      </c>
      <c r="R42">
        <v>14</v>
      </c>
      <c r="S42" s="2">
        <v>493281137.06900001</v>
      </c>
      <c r="T42" s="2">
        <v>469378994.39399999</v>
      </c>
      <c r="U42" s="2">
        <v>23902142.675000001</v>
      </c>
      <c r="V42" s="2">
        <v>18975414.734000001</v>
      </c>
      <c r="W42">
        <v>41.290000915527301</v>
      </c>
      <c r="X42">
        <v>9.2299995422363192</v>
      </c>
      <c r="Y42">
        <v>25.420000076293899</v>
      </c>
      <c r="Z42">
        <v>24.059999465942301</v>
      </c>
      <c r="AA42">
        <v>0.25</v>
      </c>
      <c r="AB42">
        <v>2</v>
      </c>
      <c r="AC42">
        <v>5</v>
      </c>
      <c r="AD42">
        <v>24107</v>
      </c>
      <c r="AE42">
        <v>1</v>
      </c>
      <c r="AF42">
        <v>5</v>
      </c>
      <c r="AG42">
        <v>99.879997253417898</v>
      </c>
      <c r="AH42">
        <v>0</v>
      </c>
      <c r="AI42">
        <v>0.119999997317791</v>
      </c>
      <c r="AJ42">
        <v>2745036544</v>
      </c>
      <c r="AK42">
        <v>33239714</v>
      </c>
      <c r="AL42">
        <v>51318152</v>
      </c>
      <c r="AM42">
        <v>2077958912</v>
      </c>
      <c r="AN42">
        <f>AVERAGE(AN43:AN47)</f>
        <v>340999059.86999971</v>
      </c>
      <c r="AO42">
        <v>865839</v>
      </c>
      <c r="AP42">
        <v>468.1</v>
      </c>
      <c r="AQ42">
        <v>4</v>
      </c>
      <c r="AR42">
        <f t="shared" si="0"/>
        <v>45928.177210497219</v>
      </c>
    </row>
    <row r="43" spans="1:44" x14ac:dyDescent="0.3">
      <c r="A43">
        <v>2013</v>
      </c>
      <c r="B43" t="s">
        <v>44</v>
      </c>
      <c r="C43">
        <v>78866</v>
      </c>
      <c r="D43">
        <v>10.7019996643066</v>
      </c>
      <c r="E43">
        <v>30.636999130248999</v>
      </c>
      <c r="F43">
        <v>32850</v>
      </c>
      <c r="G43">
        <v>25622</v>
      </c>
      <c r="H43">
        <v>7228</v>
      </c>
      <c r="I43">
        <v>33151</v>
      </c>
      <c r="J43">
        <v>76.110000610351506</v>
      </c>
      <c r="K43">
        <v>3314</v>
      </c>
      <c r="L43">
        <v>3188</v>
      </c>
      <c r="M43">
        <v>126</v>
      </c>
      <c r="N43">
        <v>23.798000335693299</v>
      </c>
      <c r="O43">
        <v>3229.38989257812</v>
      </c>
      <c r="P43">
        <v>8108</v>
      </c>
      <c r="Q43">
        <v>3223</v>
      </c>
      <c r="R43">
        <v>11</v>
      </c>
      <c r="S43" s="2">
        <v>641536181.74100006</v>
      </c>
      <c r="T43">
        <v>632844928</v>
      </c>
      <c r="U43" s="2">
        <v>8691255.6710000001</v>
      </c>
      <c r="V43" s="2">
        <v>8168619.6430000002</v>
      </c>
      <c r="W43">
        <v>53.720001220703097</v>
      </c>
      <c r="X43">
        <v>9.3400001525878906</v>
      </c>
      <c r="Y43">
        <v>8.3400001525878906</v>
      </c>
      <c r="Z43">
        <v>28.600000381469702</v>
      </c>
      <c r="AA43">
        <v>0.40000000596046398</v>
      </c>
      <c r="AB43">
        <v>2</v>
      </c>
      <c r="AC43">
        <v>5</v>
      </c>
      <c r="AD43">
        <v>22106</v>
      </c>
      <c r="AE43">
        <v>1</v>
      </c>
      <c r="AF43">
        <v>5</v>
      </c>
      <c r="AG43">
        <v>99.900001525878906</v>
      </c>
      <c r="AH43">
        <v>0</v>
      </c>
      <c r="AI43">
        <v>1.9999999552965199E-2</v>
      </c>
      <c r="AJ43">
        <v>2546702080</v>
      </c>
      <c r="AK43">
        <v>60925616</v>
      </c>
      <c r="AL43">
        <v>70670752</v>
      </c>
      <c r="AM43">
        <v>1969440768</v>
      </c>
      <c r="AN43">
        <v>45755528</v>
      </c>
      <c r="AO43">
        <v>1344530</v>
      </c>
      <c r="AP43">
        <v>376.88</v>
      </c>
      <c r="AQ43">
        <v>4</v>
      </c>
      <c r="AR43">
        <f t="shared" si="0"/>
        <v>35215.848609767141</v>
      </c>
    </row>
    <row r="44" spans="1:44" x14ac:dyDescent="0.3">
      <c r="A44">
        <v>2014</v>
      </c>
      <c r="B44" t="s">
        <v>44</v>
      </c>
      <c r="C44">
        <v>78866</v>
      </c>
      <c r="D44">
        <v>10.512000083923301</v>
      </c>
      <c r="E44">
        <v>33.080001831054602</v>
      </c>
      <c r="F44">
        <v>31766</v>
      </c>
      <c r="G44">
        <v>24978</v>
      </c>
      <c r="H44">
        <v>6788</v>
      </c>
      <c r="I44">
        <v>32173</v>
      </c>
      <c r="J44">
        <v>75.690002441406193</v>
      </c>
      <c r="K44">
        <v>3387</v>
      </c>
      <c r="L44">
        <v>3233</v>
      </c>
      <c r="M44">
        <v>154</v>
      </c>
      <c r="N44">
        <v>23.284999847412099</v>
      </c>
      <c r="O44" s="1">
        <v>3103597</v>
      </c>
      <c r="P44">
        <v>7742</v>
      </c>
      <c r="Q44">
        <v>3216</v>
      </c>
      <c r="R44">
        <v>9</v>
      </c>
      <c r="S44">
        <v>579700032</v>
      </c>
      <c r="T44" s="2">
        <v>573835550.18099999</v>
      </c>
      <c r="U44" s="2">
        <v>5864480.0489999996</v>
      </c>
      <c r="V44" s="2">
        <v>6261426.8439999996</v>
      </c>
      <c r="W44">
        <v>60.889999389648402</v>
      </c>
      <c r="X44">
        <v>8.8800001144409109</v>
      </c>
      <c r="Y44">
        <v>8.3599996566772408</v>
      </c>
      <c r="Z44">
        <v>21.870000839233299</v>
      </c>
      <c r="AA44">
        <v>0.37000000476837203</v>
      </c>
      <c r="AB44">
        <v>1</v>
      </c>
      <c r="AC44">
        <v>5</v>
      </c>
      <c r="AD44">
        <v>21971</v>
      </c>
      <c r="AE44">
        <v>1</v>
      </c>
      <c r="AF44">
        <v>5</v>
      </c>
      <c r="AG44" s="1">
        <v>99998</v>
      </c>
      <c r="AH44">
        <v>0</v>
      </c>
      <c r="AI44">
        <v>2.0000000949949E-3</v>
      </c>
      <c r="AJ44">
        <v>2362729472</v>
      </c>
      <c r="AK44">
        <v>41403488</v>
      </c>
      <c r="AL44">
        <v>80098776</v>
      </c>
      <c r="AM44">
        <v>1820345088</v>
      </c>
      <c r="AN44">
        <v>145627600</v>
      </c>
      <c r="AO44">
        <v>974611</v>
      </c>
      <c r="AP44">
        <v>350.74</v>
      </c>
      <c r="AQ44">
        <v>4</v>
      </c>
      <c r="AR44">
        <f t="shared" si="0"/>
        <v>33365.677054779517</v>
      </c>
    </row>
    <row r="45" spans="1:44" x14ac:dyDescent="0.3">
      <c r="A45">
        <v>2015</v>
      </c>
      <c r="B45" t="s">
        <v>44</v>
      </c>
      <c r="C45">
        <v>78866</v>
      </c>
      <c r="D45">
        <v>10.543000221252401</v>
      </c>
      <c r="E45">
        <v>34.400001525878899</v>
      </c>
      <c r="F45">
        <v>31416</v>
      </c>
      <c r="G45">
        <v>25183</v>
      </c>
      <c r="H45">
        <v>6233</v>
      </c>
      <c r="I45">
        <v>31966</v>
      </c>
      <c r="J45">
        <v>75.400001525878906</v>
      </c>
      <c r="K45">
        <v>3385</v>
      </c>
      <c r="L45">
        <v>3195</v>
      </c>
      <c r="M45">
        <v>190</v>
      </c>
      <c r="N45">
        <v>23.2989997863769</v>
      </c>
      <c r="O45" s="1">
        <v>3114678</v>
      </c>
      <c r="P45">
        <v>1207</v>
      </c>
      <c r="Q45">
        <v>3214</v>
      </c>
      <c r="R45">
        <v>9</v>
      </c>
      <c r="S45" s="2">
        <v>588922993.89499998</v>
      </c>
      <c r="T45" s="2">
        <v>580825086.91900003</v>
      </c>
      <c r="U45" s="2">
        <v>8097906.9759999998</v>
      </c>
      <c r="V45" s="2">
        <v>7010900.8720000004</v>
      </c>
      <c r="W45">
        <v>65.430000305175696</v>
      </c>
      <c r="X45">
        <v>8.0200004577636701</v>
      </c>
      <c r="Y45">
        <v>8.3100004196166903</v>
      </c>
      <c r="Z45">
        <v>18.2399997711181</v>
      </c>
      <c r="AA45">
        <v>0.38999998569488498</v>
      </c>
      <c r="AB45">
        <v>1</v>
      </c>
      <c r="AC45">
        <v>5</v>
      </c>
      <c r="AD45">
        <v>21698</v>
      </c>
      <c r="AE45">
        <v>1</v>
      </c>
      <c r="AF45">
        <v>5</v>
      </c>
      <c r="AG45">
        <v>99.989997863769503</v>
      </c>
      <c r="AH45">
        <v>0</v>
      </c>
      <c r="AI45">
        <v>1.9999999552965199E-2</v>
      </c>
      <c r="AJ45">
        <v>2013879168</v>
      </c>
      <c r="AK45">
        <v>29807032</v>
      </c>
      <c r="AL45">
        <v>53821016</v>
      </c>
      <c r="AM45">
        <v>1513877888</v>
      </c>
      <c r="AN45">
        <v>136249008</v>
      </c>
      <c r="AO45">
        <v>2089688</v>
      </c>
      <c r="AP45">
        <v>297.51</v>
      </c>
      <c r="AQ45">
        <v>4</v>
      </c>
      <c r="AR45">
        <f t="shared" si="0"/>
        <v>28218.72273134211</v>
      </c>
    </row>
    <row r="46" spans="1:44" x14ac:dyDescent="0.3">
      <c r="A46">
        <v>2016</v>
      </c>
      <c r="B46" t="s">
        <v>44</v>
      </c>
      <c r="C46">
        <v>78866</v>
      </c>
      <c r="D46">
        <v>10.611000061035099</v>
      </c>
      <c r="E46">
        <v>34.470001220703097</v>
      </c>
      <c r="F46">
        <v>30908</v>
      </c>
      <c r="G46">
        <v>24989</v>
      </c>
      <c r="H46">
        <v>5919</v>
      </c>
      <c r="I46">
        <v>31415</v>
      </c>
      <c r="J46">
        <v>75.519996643066406</v>
      </c>
      <c r="K46">
        <v>3382</v>
      </c>
      <c r="L46">
        <v>3055</v>
      </c>
      <c r="M46">
        <v>327</v>
      </c>
      <c r="N46">
        <v>23.3190002441406</v>
      </c>
      <c r="O46" s="1">
        <v>3137477</v>
      </c>
      <c r="P46">
        <v>1096</v>
      </c>
      <c r="Q46">
        <v>3223</v>
      </c>
      <c r="R46">
        <v>9</v>
      </c>
      <c r="S46" s="2">
        <v>562076733.39100003</v>
      </c>
      <c r="T46" s="2">
        <v>556142.87800000003</v>
      </c>
      <c r="U46" s="2">
        <v>561520590.51300001</v>
      </c>
      <c r="V46" s="2">
        <v>5099.8549999999996</v>
      </c>
      <c r="W46">
        <v>92.220001220703097</v>
      </c>
      <c r="X46">
        <v>7.38000011444091</v>
      </c>
      <c r="Y46">
        <v>2.9999999329447701E-2</v>
      </c>
      <c r="Z46">
        <v>0.37000000476837203</v>
      </c>
      <c r="AA46">
        <v>0.44999998807907099</v>
      </c>
      <c r="AB46">
        <v>1</v>
      </c>
      <c r="AC46">
        <v>5</v>
      </c>
      <c r="AD46">
        <v>21535</v>
      </c>
      <c r="AE46">
        <v>1</v>
      </c>
      <c r="AF46">
        <v>5</v>
      </c>
      <c r="AG46" s="1">
        <v>99998</v>
      </c>
      <c r="AH46">
        <v>0</v>
      </c>
      <c r="AI46">
        <v>2.0000000949949E-3</v>
      </c>
      <c r="AJ46">
        <v>1978788480</v>
      </c>
      <c r="AK46">
        <v>27084322</v>
      </c>
      <c r="AL46">
        <v>35065184</v>
      </c>
      <c r="AM46">
        <v>1516919808</v>
      </c>
      <c r="AN46">
        <v>1377363072</v>
      </c>
      <c r="AO46">
        <v>1367282</v>
      </c>
      <c r="AP46">
        <v>305.08999999999997</v>
      </c>
      <c r="AQ46">
        <v>0</v>
      </c>
      <c r="AR46">
        <f t="shared" si="0"/>
        <v>28752.238077947815</v>
      </c>
    </row>
    <row r="47" spans="1:44" x14ac:dyDescent="0.3">
      <c r="A47">
        <v>2017</v>
      </c>
      <c r="B47" t="s">
        <v>44</v>
      </c>
      <c r="C47">
        <v>78866</v>
      </c>
      <c r="D47">
        <v>10.6180000305175</v>
      </c>
      <c r="E47">
        <v>30.659999847412099</v>
      </c>
      <c r="F47">
        <v>30315</v>
      </c>
      <c r="G47">
        <v>24746</v>
      </c>
      <c r="H47">
        <v>5569</v>
      </c>
      <c r="I47">
        <v>31321</v>
      </c>
      <c r="J47">
        <v>75.080001831054602</v>
      </c>
      <c r="K47">
        <v>3385</v>
      </c>
      <c r="L47">
        <v>2878</v>
      </c>
      <c r="M47">
        <v>507</v>
      </c>
      <c r="N47">
        <v>23.2989997863769</v>
      </c>
      <c r="O47" s="1">
        <v>3136869</v>
      </c>
      <c r="P47">
        <v>1286</v>
      </c>
      <c r="Q47">
        <v>3235</v>
      </c>
      <c r="R47">
        <v>9</v>
      </c>
      <c r="S47" s="2">
        <v>615365296.80400002</v>
      </c>
      <c r="T47" s="2">
        <v>613354.40300000005</v>
      </c>
      <c r="U47" s="2">
        <v>614751942.40100002</v>
      </c>
      <c r="V47" s="2">
        <v>2529.4850000000001</v>
      </c>
      <c r="W47">
        <v>93.580001831054602</v>
      </c>
      <c r="X47">
        <v>6.0500001907348597</v>
      </c>
      <c r="Y47">
        <v>2.9999999329447701E-2</v>
      </c>
      <c r="Z47">
        <v>0.34000000357627902</v>
      </c>
      <c r="AA47">
        <v>0.43999999761581399</v>
      </c>
      <c r="AB47">
        <v>1</v>
      </c>
      <c r="AC47">
        <v>5</v>
      </c>
      <c r="AD47">
        <v>21303</v>
      </c>
      <c r="AE47">
        <v>1</v>
      </c>
      <c r="AF47">
        <v>5</v>
      </c>
      <c r="AG47" s="1">
        <v>99998</v>
      </c>
      <c r="AH47">
        <v>0</v>
      </c>
      <c r="AI47">
        <v>2.0000000949949E-3</v>
      </c>
      <c r="AJ47">
        <v>1936418432</v>
      </c>
      <c r="AK47">
        <v>23607432</v>
      </c>
      <c r="AL47">
        <v>41778064</v>
      </c>
      <c r="AM47">
        <v>1506224128</v>
      </c>
      <c r="AN47">
        <v>91.349998474121094</v>
      </c>
      <c r="AO47">
        <v>1118367</v>
      </c>
      <c r="AP47">
        <v>230.79</v>
      </c>
      <c r="AQ47">
        <v>0</v>
      </c>
      <c r="AR47">
        <f t="shared" si="0"/>
        <v>21735.731713757752</v>
      </c>
    </row>
    <row r="48" spans="1:44" x14ac:dyDescent="0.3">
      <c r="A48">
        <v>2004</v>
      </c>
      <c r="B48" t="s">
        <v>45</v>
      </c>
      <c r="C48">
        <v>45100</v>
      </c>
      <c r="D48">
        <v>1.34800004959106</v>
      </c>
      <c r="E48">
        <v>17.815000534057599</v>
      </c>
      <c r="F48">
        <v>4178</v>
      </c>
      <c r="G48">
        <v>3385</v>
      </c>
      <c r="H48">
        <v>793</v>
      </c>
      <c r="I48">
        <v>3985</v>
      </c>
      <c r="J48">
        <v>80</v>
      </c>
      <c r="K48">
        <v>545</v>
      </c>
      <c r="L48">
        <v>528</v>
      </c>
      <c r="M48">
        <v>17</v>
      </c>
      <c r="N48">
        <v>82.751998901367102</v>
      </c>
      <c r="O48" s="1">
        <v>2474026</v>
      </c>
      <c r="P48">
        <v>1147</v>
      </c>
      <c r="Q48">
        <v>545</v>
      </c>
      <c r="R48">
        <v>1</v>
      </c>
      <c r="S48" s="2">
        <v>38824698.288000003</v>
      </c>
      <c r="T48" s="2">
        <v>36774515.857000001</v>
      </c>
      <c r="U48" s="2">
        <v>2050182.4310000001</v>
      </c>
      <c r="V48" s="2">
        <v>1645074.3759999999</v>
      </c>
      <c r="W48">
        <v>38.5</v>
      </c>
      <c r="X48">
        <v>20.299999237060501</v>
      </c>
      <c r="Y48">
        <v>9.3999996185302699</v>
      </c>
      <c r="Z48">
        <v>31.799999237060501</v>
      </c>
      <c r="AA48">
        <v>0.10000000149011599</v>
      </c>
      <c r="AB48">
        <v>2</v>
      </c>
      <c r="AC48">
        <v>6</v>
      </c>
      <c r="AD48">
        <v>3741</v>
      </c>
      <c r="AE48">
        <v>1.5</v>
      </c>
      <c r="AF48">
        <v>6</v>
      </c>
      <c r="AG48">
        <v>97</v>
      </c>
      <c r="AH48">
        <v>3</v>
      </c>
      <c r="AI48">
        <v>0</v>
      </c>
      <c r="AJ48">
        <v>54362792</v>
      </c>
      <c r="AK48">
        <v>4611650</v>
      </c>
      <c r="AL48">
        <v>4984140</v>
      </c>
      <c r="AM48">
        <v>141523184</v>
      </c>
      <c r="AN48">
        <v>127430496</v>
      </c>
      <c r="AO48">
        <v>1427129</v>
      </c>
      <c r="AP48">
        <v>41.6</v>
      </c>
      <c r="AQ48">
        <v>1</v>
      </c>
      <c r="AR48">
        <f t="shared" si="0"/>
        <v>30860.532989312655</v>
      </c>
    </row>
    <row r="49" spans="1:44" x14ac:dyDescent="0.3">
      <c r="A49">
        <v>2005</v>
      </c>
      <c r="B49" t="s">
        <v>45</v>
      </c>
      <c r="C49">
        <v>45100</v>
      </c>
      <c r="D49">
        <v>1.34399998188018</v>
      </c>
      <c r="E49">
        <v>18.895999908447202</v>
      </c>
      <c r="F49">
        <v>4100</v>
      </c>
      <c r="G49">
        <v>3403</v>
      </c>
      <c r="H49">
        <v>697</v>
      </c>
      <c r="I49">
        <v>3985</v>
      </c>
      <c r="J49">
        <v>81</v>
      </c>
      <c r="K49">
        <v>544</v>
      </c>
      <c r="L49">
        <v>522</v>
      </c>
      <c r="M49">
        <v>22</v>
      </c>
      <c r="N49">
        <v>82.903999328613196</v>
      </c>
      <c r="O49" s="1">
        <v>2471162</v>
      </c>
      <c r="P49">
        <v>4</v>
      </c>
      <c r="Q49">
        <v>544</v>
      </c>
      <c r="R49">
        <v>1</v>
      </c>
      <c r="S49" s="2">
        <v>39662468.247000001</v>
      </c>
      <c r="T49" s="2">
        <v>37288685.435999997</v>
      </c>
      <c r="U49" s="2">
        <v>2373782.8110000002</v>
      </c>
      <c r="V49" s="2">
        <v>2065834.0390000001</v>
      </c>
      <c r="W49">
        <v>38.799999237060497</v>
      </c>
      <c r="X49">
        <v>21.5</v>
      </c>
      <c r="Y49">
        <v>8.8000001907348597</v>
      </c>
      <c r="Z49">
        <v>30.899999618530199</v>
      </c>
      <c r="AA49">
        <v>0.5</v>
      </c>
      <c r="AB49">
        <v>2</v>
      </c>
      <c r="AC49">
        <v>6</v>
      </c>
      <c r="AD49">
        <v>3786</v>
      </c>
      <c r="AE49">
        <v>1.5</v>
      </c>
      <c r="AF49">
        <v>6</v>
      </c>
      <c r="AG49">
        <v>97</v>
      </c>
      <c r="AH49">
        <v>3</v>
      </c>
      <c r="AI49">
        <v>0</v>
      </c>
      <c r="AJ49">
        <v>47985100</v>
      </c>
      <c r="AK49">
        <v>5533000</v>
      </c>
      <c r="AL49">
        <v>5718580</v>
      </c>
      <c r="AM49">
        <v>169675696</v>
      </c>
      <c r="AN49">
        <v>152575232</v>
      </c>
      <c r="AO49">
        <v>1506660</v>
      </c>
      <c r="AP49">
        <v>35.9</v>
      </c>
      <c r="AQ49">
        <v>1</v>
      </c>
      <c r="AR49">
        <f t="shared" si="0"/>
        <v>26711.309883931641</v>
      </c>
    </row>
    <row r="50" spans="1:44" x14ac:dyDescent="0.3">
      <c r="A50">
        <v>2006</v>
      </c>
      <c r="B50" t="s">
        <v>45</v>
      </c>
      <c r="C50">
        <v>45100</v>
      </c>
      <c r="D50">
        <v>1.3400000333786</v>
      </c>
      <c r="E50">
        <v>17.875</v>
      </c>
      <c r="F50">
        <v>4210</v>
      </c>
      <c r="G50">
        <v>3490</v>
      </c>
      <c r="H50">
        <v>720</v>
      </c>
      <c r="I50">
        <v>3985</v>
      </c>
      <c r="J50">
        <v>80</v>
      </c>
      <c r="K50">
        <v>564</v>
      </c>
      <c r="L50">
        <v>542</v>
      </c>
      <c r="M50">
        <v>22</v>
      </c>
      <c r="N50">
        <v>79.964996337890597</v>
      </c>
      <c r="O50" s="1">
        <v>2375837</v>
      </c>
      <c r="P50">
        <v>0</v>
      </c>
      <c r="Q50">
        <v>536</v>
      </c>
      <c r="R50">
        <v>1</v>
      </c>
      <c r="S50" s="2">
        <v>44377622.377999999</v>
      </c>
      <c r="T50" s="2">
        <v>45309370.629000001</v>
      </c>
      <c r="U50" s="2">
        <v>-931748.25100000005</v>
      </c>
      <c r="V50" s="2">
        <v>-1143776.2239999999</v>
      </c>
      <c r="W50">
        <v>36.5</v>
      </c>
      <c r="X50">
        <v>24.600000381469702</v>
      </c>
      <c r="Y50">
        <v>7.8000001907348597</v>
      </c>
      <c r="Z50">
        <v>31.100000381469702</v>
      </c>
      <c r="AA50">
        <v>0</v>
      </c>
      <c r="AB50">
        <v>2</v>
      </c>
      <c r="AC50">
        <v>3</v>
      </c>
      <c r="AD50">
        <v>3136</v>
      </c>
      <c r="AE50">
        <v>1</v>
      </c>
      <c r="AF50">
        <v>6</v>
      </c>
      <c r="AG50">
        <v>97</v>
      </c>
      <c r="AH50">
        <v>3</v>
      </c>
      <c r="AI50">
        <v>0</v>
      </c>
      <c r="AJ50">
        <v>48900528</v>
      </c>
      <c r="AK50">
        <v>4361140</v>
      </c>
      <c r="AL50">
        <v>5209000</v>
      </c>
      <c r="AM50">
        <v>162574256</v>
      </c>
      <c r="AN50">
        <v>145057776</v>
      </c>
      <c r="AO50">
        <v>1628650</v>
      </c>
      <c r="AP50">
        <v>36.700000000000003</v>
      </c>
      <c r="AQ50">
        <v>1</v>
      </c>
      <c r="AR50">
        <f t="shared" si="0"/>
        <v>27388.059019272339</v>
      </c>
    </row>
    <row r="51" spans="1:44" x14ac:dyDescent="0.3">
      <c r="A51">
        <v>2007</v>
      </c>
      <c r="B51" t="s">
        <v>45</v>
      </c>
      <c r="C51">
        <v>45100</v>
      </c>
      <c r="D51">
        <v>1.34300005435943</v>
      </c>
      <c r="E51">
        <v>16.811000823974599</v>
      </c>
      <c r="F51">
        <v>4236</v>
      </c>
      <c r="G51">
        <v>3515</v>
      </c>
      <c r="H51">
        <v>721</v>
      </c>
      <c r="I51">
        <v>3985</v>
      </c>
      <c r="J51">
        <v>81</v>
      </c>
      <c r="K51">
        <v>502</v>
      </c>
      <c r="L51">
        <v>497</v>
      </c>
      <c r="M51">
        <v>5</v>
      </c>
      <c r="N51">
        <v>89.841003417968693</v>
      </c>
      <c r="O51" s="1">
        <v>2675046</v>
      </c>
      <c r="P51">
        <v>1</v>
      </c>
      <c r="Q51">
        <v>503</v>
      </c>
      <c r="R51">
        <v>1</v>
      </c>
      <c r="S51" s="2">
        <v>55469632.978</v>
      </c>
      <c r="T51" s="2">
        <v>57159003.034000002</v>
      </c>
      <c r="U51" s="2">
        <v>-1689370.0560000001</v>
      </c>
      <c r="V51" s="2">
        <v>-1808339.7779999999</v>
      </c>
      <c r="W51">
        <v>36.5</v>
      </c>
      <c r="X51">
        <v>23.7000007629394</v>
      </c>
      <c r="Y51">
        <v>6.5999999046325604</v>
      </c>
      <c r="Z51">
        <v>33.200000762939403</v>
      </c>
      <c r="AA51">
        <f>AVERAGE(AA48:AA50)</f>
        <v>0.20000000049670533</v>
      </c>
      <c r="AB51">
        <v>2</v>
      </c>
      <c r="AC51">
        <v>5.5</v>
      </c>
      <c r="AD51">
        <v>3123</v>
      </c>
      <c r="AE51">
        <v>1.5</v>
      </c>
      <c r="AF51">
        <v>5</v>
      </c>
      <c r="AG51">
        <v>97</v>
      </c>
      <c r="AH51">
        <v>3</v>
      </c>
      <c r="AI51">
        <v>0</v>
      </c>
      <c r="AJ51">
        <v>48815000</v>
      </c>
      <c r="AK51">
        <v>3356190</v>
      </c>
      <c r="AL51">
        <v>4773000</v>
      </c>
      <c r="AM51">
        <v>175327008</v>
      </c>
      <c r="AN51">
        <v>155340992</v>
      </c>
      <c r="AO51">
        <v>1231000</v>
      </c>
      <c r="AP51">
        <v>44.2</v>
      </c>
      <c r="AQ51">
        <v>2</v>
      </c>
      <c r="AR51">
        <f t="shared" si="0"/>
        <v>32911.391072937862</v>
      </c>
    </row>
    <row r="52" spans="1:44" x14ac:dyDescent="0.3">
      <c r="A52">
        <v>2008</v>
      </c>
      <c r="B52" t="s">
        <v>45</v>
      </c>
      <c r="C52">
        <v>45100</v>
      </c>
      <c r="D52">
        <v>1.3420000076293901</v>
      </c>
      <c r="E52">
        <v>17.1049995422363</v>
      </c>
      <c r="F52">
        <v>3996</v>
      </c>
      <c r="G52">
        <v>3410</v>
      </c>
      <c r="H52">
        <v>586</v>
      </c>
      <c r="I52">
        <v>3985</v>
      </c>
      <c r="J52">
        <v>82</v>
      </c>
      <c r="K52">
        <v>417</v>
      </c>
      <c r="L52">
        <v>413</v>
      </c>
      <c r="M52">
        <v>4</v>
      </c>
      <c r="N52">
        <v>108.15299987792901</v>
      </c>
      <c r="O52" s="1">
        <v>3218573</v>
      </c>
      <c r="P52">
        <v>1</v>
      </c>
      <c r="Q52">
        <v>418</v>
      </c>
      <c r="R52">
        <v>1</v>
      </c>
      <c r="S52" s="2">
        <v>57860274.773000002</v>
      </c>
      <c r="T52" s="2">
        <v>57328266.589000002</v>
      </c>
      <c r="U52" s="2">
        <v>532008.18400000001</v>
      </c>
      <c r="V52" s="2">
        <f>AVERAGE(V48:V51,V53:V56)</f>
        <v>1281148.4587578124</v>
      </c>
      <c r="W52">
        <v>36.5</v>
      </c>
      <c r="X52">
        <v>23.7000007629394</v>
      </c>
      <c r="Y52">
        <v>6.5999999046325604</v>
      </c>
      <c r="Z52">
        <v>33.200000762939403</v>
      </c>
      <c r="AA52">
        <f>AVERAGE(AA48:AA50)</f>
        <v>0.20000000049670533</v>
      </c>
      <c r="AB52">
        <v>2</v>
      </c>
      <c r="AC52">
        <v>5</v>
      </c>
      <c r="AD52">
        <v>3115</v>
      </c>
      <c r="AE52">
        <v>1.5</v>
      </c>
      <c r="AF52">
        <v>5</v>
      </c>
      <c r="AG52">
        <v>97</v>
      </c>
      <c r="AH52">
        <v>3</v>
      </c>
      <c r="AI52">
        <v>0</v>
      </c>
      <c r="AJ52">
        <v>44942500</v>
      </c>
      <c r="AK52">
        <v>2553500</v>
      </c>
      <c r="AL52">
        <v>5238300</v>
      </c>
      <c r="AM52">
        <v>152292496</v>
      </c>
      <c r="AN52">
        <v>132996896</v>
      </c>
      <c r="AO52">
        <v>1109100</v>
      </c>
      <c r="AP52">
        <v>51.1</v>
      </c>
      <c r="AQ52">
        <v>2</v>
      </c>
      <c r="AR52">
        <f t="shared" si="0"/>
        <v>38077.496057743614</v>
      </c>
    </row>
    <row r="53" spans="1:44" x14ac:dyDescent="0.3">
      <c r="A53">
        <v>2009</v>
      </c>
      <c r="B53" t="s">
        <v>45</v>
      </c>
      <c r="C53">
        <v>45100</v>
      </c>
      <c r="D53">
        <v>1.3420000076293901</v>
      </c>
      <c r="E53">
        <v>17.033000946044901</v>
      </c>
      <c r="F53">
        <v>3232</v>
      </c>
      <c r="G53">
        <v>2353</v>
      </c>
      <c r="H53">
        <v>879</v>
      </c>
      <c r="I53">
        <v>3985</v>
      </c>
      <c r="J53">
        <v>77</v>
      </c>
      <c r="K53">
        <v>374</v>
      </c>
      <c r="L53">
        <v>354</v>
      </c>
      <c r="M53">
        <v>20</v>
      </c>
      <c r="N53">
        <v>120.587997436523</v>
      </c>
      <c r="O53" s="1">
        <v>3587243</v>
      </c>
      <c r="P53">
        <v>1</v>
      </c>
      <c r="Q53">
        <v>354</v>
      </c>
      <c r="R53">
        <v>1</v>
      </c>
      <c r="S53" s="2">
        <v>47619327.188000001</v>
      </c>
      <c r="T53">
        <v>47049844</v>
      </c>
      <c r="U53" s="2">
        <v>569482.76800000004</v>
      </c>
      <c r="V53">
        <v>129161.0390625</v>
      </c>
      <c r="W53">
        <v>41</v>
      </c>
      <c r="X53">
        <v>19.100000381469702</v>
      </c>
      <c r="Y53">
        <v>6.8000001907348597</v>
      </c>
      <c r="Z53">
        <v>33.099998474121001</v>
      </c>
      <c r="AA53">
        <f>AVERAGE(AA48:AA50)</f>
        <v>0.20000000049670533</v>
      </c>
      <c r="AB53">
        <v>1</v>
      </c>
      <c r="AC53">
        <v>5</v>
      </c>
      <c r="AD53">
        <v>3114</v>
      </c>
      <c r="AE53">
        <v>1</v>
      </c>
      <c r="AF53">
        <v>6</v>
      </c>
      <c r="AG53">
        <v>97</v>
      </c>
      <c r="AH53">
        <v>3</v>
      </c>
      <c r="AI53">
        <v>0</v>
      </c>
      <c r="AJ53">
        <v>40498100</v>
      </c>
      <c r="AK53">
        <v>2249600</v>
      </c>
      <c r="AL53">
        <v>4241500</v>
      </c>
      <c r="AM53">
        <v>125872896</v>
      </c>
      <c r="AN53">
        <v>109612600</v>
      </c>
      <c r="AO53">
        <v>1026000</v>
      </c>
      <c r="AP53">
        <v>41.9</v>
      </c>
      <c r="AQ53">
        <v>3</v>
      </c>
      <c r="AR53">
        <f t="shared" si="0"/>
        <v>31222.05645439251</v>
      </c>
    </row>
    <row r="54" spans="1:44" x14ac:dyDescent="0.3">
      <c r="A54">
        <v>2010</v>
      </c>
      <c r="B54" t="s">
        <v>45</v>
      </c>
      <c r="C54">
        <v>45100</v>
      </c>
      <c r="D54">
        <v>1.3409999608993499</v>
      </c>
      <c r="E54">
        <v>18.034999847412099</v>
      </c>
      <c r="F54">
        <v>2703</v>
      </c>
      <c r="G54">
        <v>2198</v>
      </c>
      <c r="H54">
        <v>505</v>
      </c>
      <c r="I54">
        <v>3985</v>
      </c>
      <c r="J54">
        <v>78</v>
      </c>
      <c r="K54">
        <v>403</v>
      </c>
      <c r="L54">
        <v>353</v>
      </c>
      <c r="M54">
        <v>50</v>
      </c>
      <c r="N54">
        <v>111.911003112792</v>
      </c>
      <c r="O54" s="1">
        <v>3327891</v>
      </c>
      <c r="P54">
        <v>1</v>
      </c>
      <c r="Q54">
        <v>353</v>
      </c>
      <c r="R54">
        <v>1</v>
      </c>
      <c r="S54" s="2">
        <v>46138296.755999997</v>
      </c>
      <c r="T54">
        <v>40061764</v>
      </c>
      <c r="U54" s="2">
        <v>6076532.0760000004</v>
      </c>
      <c r="V54" s="2">
        <v>6188785.085</v>
      </c>
      <c r="W54">
        <v>35.299999237060497</v>
      </c>
      <c r="X54">
        <v>15.899999618530201</v>
      </c>
      <c r="Y54">
        <v>6</v>
      </c>
      <c r="Z54">
        <v>42.799999237060497</v>
      </c>
      <c r="AA54">
        <f>AVERAGE(AA48:AA50)</f>
        <v>0.20000000049670533</v>
      </c>
      <c r="AB54">
        <v>1</v>
      </c>
      <c r="AC54">
        <v>5</v>
      </c>
      <c r="AD54">
        <v>3114</v>
      </c>
      <c r="AE54">
        <v>1</v>
      </c>
      <c r="AF54">
        <v>6</v>
      </c>
      <c r="AG54">
        <v>97</v>
      </c>
      <c r="AH54">
        <v>3</v>
      </c>
      <c r="AI54">
        <v>0</v>
      </c>
      <c r="AJ54">
        <v>28758308</v>
      </c>
      <c r="AK54">
        <v>2961660</v>
      </c>
      <c r="AL54">
        <v>4033393</v>
      </c>
      <c r="AM54">
        <v>145134176</v>
      </c>
      <c r="AN54">
        <v>133666976</v>
      </c>
      <c r="AO54">
        <v>614211</v>
      </c>
      <c r="AP54">
        <v>36.4</v>
      </c>
      <c r="AQ54">
        <v>3</v>
      </c>
      <c r="AR54">
        <f t="shared" si="0"/>
        <v>27143.923237393767</v>
      </c>
    </row>
    <row r="55" spans="1:44" x14ac:dyDescent="0.3">
      <c r="A55">
        <v>2011</v>
      </c>
      <c r="B55" t="s">
        <v>45</v>
      </c>
      <c r="C55">
        <v>45100</v>
      </c>
      <c r="D55">
        <v>1.3409999608993499</v>
      </c>
      <c r="E55">
        <v>1.18700003623962</v>
      </c>
      <c r="F55">
        <v>2792</v>
      </c>
      <c r="G55">
        <v>2290</v>
      </c>
      <c r="H55">
        <v>502</v>
      </c>
      <c r="I55">
        <v>3985</v>
      </c>
      <c r="J55">
        <v>81</v>
      </c>
      <c r="K55">
        <v>343</v>
      </c>
      <c r="L55">
        <v>296</v>
      </c>
      <c r="M55">
        <v>47</v>
      </c>
      <c r="N55">
        <v>131.48699951171801</v>
      </c>
      <c r="O55" s="1">
        <v>3908271</v>
      </c>
      <c r="P55">
        <v>1</v>
      </c>
      <c r="Q55">
        <v>344</v>
      </c>
      <c r="R55">
        <v>1</v>
      </c>
      <c r="S55" s="2">
        <v>40101095.197999999</v>
      </c>
      <c r="T55" s="2">
        <v>39258635.215000004</v>
      </c>
      <c r="U55" s="2">
        <v>842459.98300000001</v>
      </c>
      <c r="V55">
        <v>1010952</v>
      </c>
      <c r="W55">
        <v>39.700000762939403</v>
      </c>
      <c r="X55">
        <v>18.799999237060501</v>
      </c>
      <c r="Y55">
        <v>7.5</v>
      </c>
      <c r="Z55">
        <v>34</v>
      </c>
      <c r="AA55">
        <f>AVERAGE(AA48:AA50)</f>
        <v>0.20000000049670533</v>
      </c>
      <c r="AB55">
        <v>1</v>
      </c>
      <c r="AC55">
        <v>5</v>
      </c>
      <c r="AD55">
        <v>2896</v>
      </c>
      <c r="AE55">
        <v>1</v>
      </c>
      <c r="AF55">
        <v>6</v>
      </c>
      <c r="AG55">
        <v>97</v>
      </c>
      <c r="AH55">
        <v>3</v>
      </c>
      <c r="AI55">
        <v>0</v>
      </c>
      <c r="AJ55">
        <v>25837400</v>
      </c>
      <c r="AK55">
        <v>2799600</v>
      </c>
      <c r="AL55">
        <v>3471300</v>
      </c>
      <c r="AM55">
        <v>161066592</v>
      </c>
      <c r="AN55">
        <v>147724496</v>
      </c>
      <c r="AO55">
        <v>508500</v>
      </c>
      <c r="AP55">
        <v>36.299999999999997</v>
      </c>
      <c r="AQ55">
        <v>3</v>
      </c>
      <c r="AR55">
        <f t="shared" si="0"/>
        <v>27069.352019708622</v>
      </c>
    </row>
    <row r="56" spans="1:44" x14ac:dyDescent="0.3">
      <c r="A56">
        <v>2012</v>
      </c>
      <c r="B56" t="s">
        <v>45</v>
      </c>
      <c r="C56">
        <v>45100</v>
      </c>
      <c r="D56">
        <v>1.3400000333786</v>
      </c>
      <c r="E56">
        <v>1.16499996185302</v>
      </c>
      <c r="F56">
        <v>2443</v>
      </c>
      <c r="G56">
        <v>1989</v>
      </c>
      <c r="H56">
        <v>454</v>
      </c>
      <c r="I56">
        <v>3985</v>
      </c>
      <c r="J56">
        <v>79</v>
      </c>
      <c r="K56">
        <v>337</v>
      </c>
      <c r="L56">
        <v>263</v>
      </c>
      <c r="M56">
        <v>74</v>
      </c>
      <c r="N56">
        <v>133.82800292968699</v>
      </c>
      <c r="O56" s="1">
        <v>3975555</v>
      </c>
      <c r="P56">
        <v>1</v>
      </c>
      <c r="Q56">
        <v>270</v>
      </c>
      <c r="R56">
        <v>1</v>
      </c>
      <c r="S56" s="2">
        <v>44359527.725000001</v>
      </c>
      <c r="T56" s="2">
        <v>41834218.755000003</v>
      </c>
      <c r="U56">
        <v>2525309</v>
      </c>
      <c r="V56" s="2">
        <v>2161497.1329999999</v>
      </c>
      <c r="W56">
        <v>41.5</v>
      </c>
      <c r="X56">
        <v>20.7000007629394</v>
      </c>
      <c r="Y56">
        <v>5.4000000953674299</v>
      </c>
      <c r="Z56">
        <v>32.400001525878899</v>
      </c>
      <c r="AA56">
        <f>AVERAGE(AA48:AA50)</f>
        <v>0.20000000049670533</v>
      </c>
      <c r="AB56">
        <v>1</v>
      </c>
      <c r="AC56">
        <v>5</v>
      </c>
      <c r="AD56">
        <v>2786</v>
      </c>
      <c r="AE56">
        <v>1</v>
      </c>
      <c r="AF56">
        <v>5</v>
      </c>
      <c r="AG56">
        <v>97</v>
      </c>
      <c r="AH56">
        <v>3</v>
      </c>
      <c r="AI56">
        <v>0</v>
      </c>
      <c r="AJ56">
        <v>23505992</v>
      </c>
      <c r="AK56">
        <v>4732598</v>
      </c>
      <c r="AL56">
        <v>3466647</v>
      </c>
      <c r="AM56">
        <v>173847392</v>
      </c>
      <c r="AN56">
        <v>162225904</v>
      </c>
      <c r="AO56">
        <v>577799</v>
      </c>
      <c r="AP56">
        <v>24.6</v>
      </c>
      <c r="AQ56">
        <v>3</v>
      </c>
      <c r="AR56">
        <f t="shared" si="0"/>
        <v>18358.208497931868</v>
      </c>
    </row>
    <row r="57" spans="1:44" x14ac:dyDescent="0.3">
      <c r="A57">
        <v>2004</v>
      </c>
      <c r="B57" t="s">
        <v>46</v>
      </c>
      <c r="C57">
        <v>338145</v>
      </c>
      <c r="D57">
        <v>5.2309999465942303</v>
      </c>
      <c r="E57">
        <v>1.1399999856948799</v>
      </c>
      <c r="F57">
        <v>23297</v>
      </c>
      <c r="G57">
        <v>15322</v>
      </c>
      <c r="H57">
        <v>7975</v>
      </c>
      <c r="I57">
        <f>AVERAGE(I58:I61)</f>
        <v>21134.25</v>
      </c>
      <c r="J57">
        <v>46</v>
      </c>
      <c r="K57">
        <v>1311</v>
      </c>
      <c r="L57">
        <v>294</v>
      </c>
      <c r="M57">
        <v>1017</v>
      </c>
      <c r="N57">
        <v>257.92898559570301</v>
      </c>
      <c r="O57" s="1">
        <v>3990211</v>
      </c>
      <c r="P57">
        <v>0</v>
      </c>
      <c r="Q57">
        <v>0</v>
      </c>
      <c r="R57">
        <v>8</v>
      </c>
      <c r="S57" s="2">
        <v>1103792450.1819999</v>
      </c>
      <c r="T57" s="2">
        <v>1020295397.137</v>
      </c>
      <c r="U57" s="2">
        <v>83497053.045000002</v>
      </c>
      <c r="V57" s="2">
        <v>61044063.990999997</v>
      </c>
      <c r="W57">
        <v>64</v>
      </c>
      <c r="X57">
        <v>20</v>
      </c>
      <c r="Y57">
        <v>0</v>
      </c>
      <c r="Z57">
        <v>16</v>
      </c>
      <c r="AA57">
        <v>0.5</v>
      </c>
      <c r="AB57">
        <v>1</v>
      </c>
      <c r="AC57">
        <v>5</v>
      </c>
      <c r="AD57">
        <v>8000</v>
      </c>
      <c r="AE57">
        <v>1</v>
      </c>
      <c r="AF57">
        <v>5</v>
      </c>
      <c r="AG57">
        <v>100</v>
      </c>
      <c r="AH57">
        <v>0</v>
      </c>
      <c r="AI57">
        <v>0</v>
      </c>
      <c r="AJ57">
        <v>830000000</v>
      </c>
      <c r="AK57">
        <v>19000000</v>
      </c>
      <c r="AL57">
        <v>43000000</v>
      </c>
      <c r="AM57">
        <v>850000000</v>
      </c>
      <c r="AN57">
        <v>560000000</v>
      </c>
      <c r="AO57">
        <v>23600000</v>
      </c>
      <c r="AP57">
        <v>1035</v>
      </c>
      <c r="AQ57">
        <v>4</v>
      </c>
      <c r="AR57">
        <f t="shared" si="0"/>
        <v>197858.92000894819</v>
      </c>
    </row>
    <row r="58" spans="1:44" x14ac:dyDescent="0.3">
      <c r="A58">
        <v>2005</v>
      </c>
      <c r="B58" t="s">
        <v>46</v>
      </c>
      <c r="C58">
        <v>338145</v>
      </c>
      <c r="D58">
        <v>5.2459998130798304</v>
      </c>
      <c r="E58">
        <v>1.2120000123977599</v>
      </c>
      <c r="F58">
        <v>24408</v>
      </c>
      <c r="G58">
        <v>15621</v>
      </c>
      <c r="H58">
        <v>8787</v>
      </c>
      <c r="I58">
        <v>18747</v>
      </c>
      <c r="J58">
        <v>45</v>
      </c>
      <c r="K58">
        <v>1276</v>
      </c>
      <c r="L58">
        <v>279</v>
      </c>
      <c r="M58">
        <v>997</v>
      </c>
      <c r="N58">
        <v>265.00399780273398</v>
      </c>
      <c r="O58" s="1">
        <v>4111288</v>
      </c>
      <c r="P58">
        <v>0</v>
      </c>
      <c r="Q58">
        <v>0</v>
      </c>
      <c r="R58">
        <v>7</v>
      </c>
      <c r="S58" s="2">
        <v>1171969790.7639999</v>
      </c>
      <c r="T58">
        <v>1060542272</v>
      </c>
      <c r="U58" s="2">
        <v>111427510.214</v>
      </c>
      <c r="V58" s="2">
        <v>78494490.528999999</v>
      </c>
      <c r="W58">
        <v>60</v>
      </c>
      <c r="X58">
        <v>26</v>
      </c>
      <c r="Y58">
        <v>0</v>
      </c>
      <c r="Z58">
        <v>14</v>
      </c>
      <c r="AA58">
        <v>0.5</v>
      </c>
      <c r="AB58">
        <v>1</v>
      </c>
      <c r="AC58">
        <v>5</v>
      </c>
      <c r="AD58">
        <v>8000</v>
      </c>
      <c r="AE58">
        <v>1</v>
      </c>
      <c r="AF58">
        <v>5</v>
      </c>
      <c r="AG58">
        <v>100</v>
      </c>
      <c r="AH58">
        <v>0</v>
      </c>
      <c r="AI58">
        <v>0</v>
      </c>
      <c r="AJ58">
        <v>832000000</v>
      </c>
      <c r="AK58">
        <v>18000000</v>
      </c>
      <c r="AL58">
        <v>36000000</v>
      </c>
      <c r="AM58">
        <v>912000000</v>
      </c>
      <c r="AN58">
        <v>618000000</v>
      </c>
      <c r="AO58">
        <v>24100000</v>
      </c>
      <c r="AP58">
        <v>1122.5</v>
      </c>
      <c r="AQ58">
        <v>4</v>
      </c>
      <c r="AR58">
        <f t="shared" si="0"/>
        <v>213972.55813873175</v>
      </c>
    </row>
    <row r="59" spans="1:44" x14ac:dyDescent="0.3">
      <c r="A59">
        <v>2006</v>
      </c>
      <c r="B59" t="s">
        <v>46</v>
      </c>
      <c r="C59">
        <v>338145</v>
      </c>
      <c r="D59">
        <v>5.2610001564025799</v>
      </c>
      <c r="E59">
        <v>1.1419999599456701</v>
      </c>
      <c r="F59">
        <v>24806</v>
      </c>
      <c r="G59">
        <v>15876</v>
      </c>
      <c r="H59">
        <v>8930</v>
      </c>
      <c r="I59">
        <v>20340</v>
      </c>
      <c r="J59">
        <v>43</v>
      </c>
      <c r="K59">
        <v>1232</v>
      </c>
      <c r="L59">
        <v>218</v>
      </c>
      <c r="M59">
        <v>1014</v>
      </c>
      <c r="N59">
        <v>274.46798706054602</v>
      </c>
      <c r="O59" s="1">
        <v>4270489</v>
      </c>
      <c r="P59">
        <v>0</v>
      </c>
      <c r="Q59">
        <v>0</v>
      </c>
      <c r="R59">
        <v>8</v>
      </c>
      <c r="S59" s="2">
        <v>1366290521.671</v>
      </c>
      <c r="T59" s="2">
        <v>1288376857.0150001</v>
      </c>
      <c r="U59" s="2">
        <v>77913664.656000003</v>
      </c>
      <c r="V59" s="2">
        <v>59266911.204999998</v>
      </c>
      <c r="W59">
        <v>53</v>
      </c>
      <c r="X59">
        <v>34</v>
      </c>
      <c r="Y59">
        <v>0</v>
      </c>
      <c r="Z59">
        <v>13</v>
      </c>
      <c r="AA59">
        <v>0.60000002384185702</v>
      </c>
      <c r="AB59">
        <v>1</v>
      </c>
      <c r="AC59">
        <v>5</v>
      </c>
      <c r="AD59">
        <v>7932</v>
      </c>
      <c r="AE59">
        <v>1</v>
      </c>
      <c r="AF59">
        <v>5</v>
      </c>
      <c r="AG59">
        <v>99.930000305175696</v>
      </c>
      <c r="AH59">
        <v>7.0000000298023196E-2</v>
      </c>
      <c r="AI59">
        <v>0</v>
      </c>
      <c r="AJ59">
        <v>797000000</v>
      </c>
      <c r="AK59">
        <v>20000000</v>
      </c>
      <c r="AL59">
        <v>41000000</v>
      </c>
      <c r="AM59">
        <v>1004000000</v>
      </c>
      <c r="AN59">
        <v>714000000</v>
      </c>
      <c r="AO59">
        <v>24000000</v>
      </c>
      <c r="AP59">
        <v>1157</v>
      </c>
      <c r="AQ59">
        <v>4</v>
      </c>
      <c r="AR59">
        <f t="shared" si="0"/>
        <v>219920.16073064425</v>
      </c>
    </row>
    <row r="60" spans="1:44" x14ac:dyDescent="0.3">
      <c r="A60">
        <v>2007</v>
      </c>
      <c r="B60" t="s">
        <v>46</v>
      </c>
      <c r="C60">
        <v>338145</v>
      </c>
      <c r="D60">
        <v>5.2899999618530202</v>
      </c>
      <c r="E60">
        <v>1.0740000009536701</v>
      </c>
      <c r="F60">
        <v>25211</v>
      </c>
      <c r="G60">
        <v>16640</v>
      </c>
      <c r="H60">
        <v>8571</v>
      </c>
      <c r="I60">
        <v>21512</v>
      </c>
      <c r="J60">
        <v>43</v>
      </c>
      <c r="K60">
        <v>1202</v>
      </c>
      <c r="L60">
        <v>199</v>
      </c>
      <c r="M60">
        <v>1003</v>
      </c>
      <c r="N60">
        <v>281.31900024414</v>
      </c>
      <c r="O60" s="1">
        <v>4401357</v>
      </c>
      <c r="P60">
        <v>0</v>
      </c>
      <c r="Q60">
        <v>0</v>
      </c>
      <c r="R60">
        <v>8</v>
      </c>
      <c r="S60" s="2">
        <v>1582673497.904</v>
      </c>
      <c r="T60" s="2">
        <v>1487843502.562</v>
      </c>
      <c r="U60" s="2">
        <v>94829995.341999993</v>
      </c>
      <c r="V60" s="2">
        <v>73125291.104000002</v>
      </c>
      <c r="W60">
        <v>51</v>
      </c>
      <c r="X60">
        <v>36</v>
      </c>
      <c r="Y60">
        <v>0</v>
      </c>
      <c r="Z60">
        <v>13</v>
      </c>
      <c r="AA60">
        <v>0.5</v>
      </c>
      <c r="AB60">
        <v>1</v>
      </c>
      <c r="AC60">
        <v>5</v>
      </c>
      <c r="AD60">
        <v>7925</v>
      </c>
      <c r="AE60">
        <v>1</v>
      </c>
      <c r="AF60">
        <v>5</v>
      </c>
      <c r="AG60">
        <v>99.029998779296804</v>
      </c>
      <c r="AH60">
        <v>7.0000000298023196E-2</v>
      </c>
      <c r="AI60">
        <v>0</v>
      </c>
      <c r="AJ60">
        <v>807000000</v>
      </c>
      <c r="AK60">
        <v>19000000</v>
      </c>
      <c r="AL60">
        <v>43000000</v>
      </c>
      <c r="AM60">
        <v>1099000064</v>
      </c>
      <c r="AN60">
        <v>814000000</v>
      </c>
      <c r="AO60">
        <v>25900000</v>
      </c>
      <c r="AP60">
        <v>1224.5999999999999</v>
      </c>
      <c r="AQ60">
        <v>4</v>
      </c>
      <c r="AR60">
        <f t="shared" si="0"/>
        <v>231493.3854122445</v>
      </c>
    </row>
    <row r="61" spans="1:44" x14ac:dyDescent="0.3">
      <c r="A61">
        <v>2012</v>
      </c>
      <c r="B61" t="s">
        <v>46</v>
      </c>
      <c r="C61">
        <v>338145</v>
      </c>
      <c r="D61">
        <v>5.4029998779296804</v>
      </c>
      <c r="E61">
        <v>1.16499996185302</v>
      </c>
      <c r="F61">
        <v>27816</v>
      </c>
      <c r="G61">
        <v>20142</v>
      </c>
      <c r="H61">
        <v>7674</v>
      </c>
      <c r="I61">
        <v>23938</v>
      </c>
      <c r="J61">
        <v>41</v>
      </c>
      <c r="K61">
        <v>964</v>
      </c>
      <c r="L61">
        <v>103</v>
      </c>
      <c r="M61">
        <v>861</v>
      </c>
      <c r="N61">
        <v>350.77301025390602</v>
      </c>
      <c r="O61" s="1">
        <v>5604385</v>
      </c>
      <c r="P61">
        <v>0</v>
      </c>
      <c r="Q61">
        <v>964</v>
      </c>
      <c r="R61">
        <v>8</v>
      </c>
      <c r="S61" s="2">
        <v>1692789699.5710001</v>
      </c>
      <c r="T61" s="2">
        <v>1659227467.8110001</v>
      </c>
      <c r="U61">
        <v>33562232</v>
      </c>
      <c r="V61" s="2">
        <v>12103004.291999999</v>
      </c>
      <c r="W61">
        <f>AVERAGE(W57:W60)</f>
        <v>57</v>
      </c>
      <c r="X61">
        <f>AVERAGE(X57:X60)</f>
        <v>29</v>
      </c>
      <c r="Y61">
        <v>0</v>
      </c>
      <c r="Z61">
        <f>AVERAGE(Z57:Z60)</f>
        <v>14</v>
      </c>
      <c r="AA61">
        <f>AVERAGE(AA57:AA60)</f>
        <v>0.52500000596046426</v>
      </c>
      <c r="AB61">
        <v>1</v>
      </c>
      <c r="AC61">
        <v>5</v>
      </c>
      <c r="AD61">
        <v>6980</v>
      </c>
      <c r="AE61">
        <v>1</v>
      </c>
      <c r="AF61">
        <v>5</v>
      </c>
      <c r="AG61">
        <v>99.949996948242102</v>
      </c>
      <c r="AH61">
        <v>5.0000000745058101E-2</v>
      </c>
      <c r="AI61">
        <v>0</v>
      </c>
      <c r="AJ61">
        <v>802000000</v>
      </c>
      <c r="AK61">
        <f>AVERAGE(AK57:AK60)</f>
        <v>19000000</v>
      </c>
      <c r="AL61">
        <f>AVERAGE(AL57:AL60)</f>
        <v>40750000</v>
      </c>
      <c r="AM61">
        <v>1292999936</v>
      </c>
      <c r="AN61">
        <v>1031000000</v>
      </c>
      <c r="AO61">
        <v>29800000</v>
      </c>
      <c r="AP61">
        <v>139.1</v>
      </c>
      <c r="AQ61">
        <v>4</v>
      </c>
      <c r="AR61">
        <f t="shared" si="0"/>
        <v>25744.95708730245</v>
      </c>
    </row>
    <row r="62" spans="1:44" x14ac:dyDescent="0.3">
      <c r="A62">
        <v>2004</v>
      </c>
      <c r="B62" t="s">
        <v>47</v>
      </c>
      <c r="C62">
        <v>131957</v>
      </c>
      <c r="D62">
        <v>11.079000473022401</v>
      </c>
      <c r="E62">
        <v>1.1399999856948799</v>
      </c>
      <c r="F62">
        <v>11404</v>
      </c>
      <c r="G62">
        <v>10881</v>
      </c>
      <c r="H62">
        <v>523</v>
      </c>
      <c r="I62">
        <v>11143</v>
      </c>
      <c r="J62">
        <v>30</v>
      </c>
      <c r="K62">
        <v>2200</v>
      </c>
      <c r="L62">
        <v>961</v>
      </c>
      <c r="M62">
        <v>1239</v>
      </c>
      <c r="N62">
        <v>59.9799995422363</v>
      </c>
      <c r="O62" s="1">
        <v>5036015</v>
      </c>
      <c r="P62">
        <v>953</v>
      </c>
      <c r="Q62">
        <v>938</v>
      </c>
      <c r="R62">
        <v>23</v>
      </c>
      <c r="S62" s="2">
        <v>445398300.23900002</v>
      </c>
      <c r="T62" s="2">
        <v>432110136.29699999</v>
      </c>
      <c r="U62" s="2">
        <v>13288163.942</v>
      </c>
      <c r="V62" s="2">
        <v>14188932.431</v>
      </c>
      <c r="W62">
        <v>76</v>
      </c>
      <c r="X62">
        <v>3</v>
      </c>
      <c r="Y62">
        <v>13</v>
      </c>
      <c r="Z62">
        <v>8</v>
      </c>
      <c r="AA62">
        <v>2.70000004768371</v>
      </c>
      <c r="AB62">
        <v>1.03999996185302</v>
      </c>
      <c r="AC62">
        <v>4.1999998092651296</v>
      </c>
      <c r="AD62">
        <v>11680</v>
      </c>
      <c r="AE62">
        <v>1</v>
      </c>
      <c r="AF62">
        <v>4.0599999427795401</v>
      </c>
      <c r="AG62">
        <v>100</v>
      </c>
      <c r="AH62">
        <v>0</v>
      </c>
      <c r="AI62">
        <v>0</v>
      </c>
      <c r="AJ62">
        <v>550262016</v>
      </c>
      <c r="AK62">
        <v>47915000</v>
      </c>
      <c r="AL62">
        <v>40637000</v>
      </c>
      <c r="AM62">
        <v>83202000</v>
      </c>
      <c r="AN62">
        <v>8441000</v>
      </c>
      <c r="AO62">
        <v>2223535</v>
      </c>
      <c r="AP62">
        <v>401.8</v>
      </c>
      <c r="AQ62">
        <v>4</v>
      </c>
      <c r="AR62">
        <f t="shared" si="0"/>
        <v>36266.809535606706</v>
      </c>
    </row>
    <row r="63" spans="1:44" x14ac:dyDescent="0.3">
      <c r="A63">
        <v>2005</v>
      </c>
      <c r="B63" t="s">
        <v>47</v>
      </c>
      <c r="C63">
        <v>131957</v>
      </c>
      <c r="D63">
        <v>11.1000003814697</v>
      </c>
      <c r="E63">
        <v>1.2120000123977599</v>
      </c>
      <c r="F63">
        <v>11471</v>
      </c>
      <c r="G63">
        <v>10566</v>
      </c>
      <c r="H63">
        <v>905</v>
      </c>
      <c r="I63">
        <v>11019</v>
      </c>
      <c r="J63">
        <v>31</v>
      </c>
      <c r="K63">
        <v>2093</v>
      </c>
      <c r="L63">
        <v>962</v>
      </c>
      <c r="M63">
        <v>1131</v>
      </c>
      <c r="N63">
        <v>63.047000885009702</v>
      </c>
      <c r="O63" s="1">
        <v>5303267</v>
      </c>
      <c r="P63">
        <v>931</v>
      </c>
      <c r="Q63">
        <v>939</v>
      </c>
      <c r="R63">
        <v>23</v>
      </c>
      <c r="S63" s="2">
        <v>415530445.64399999</v>
      </c>
      <c r="T63" s="2">
        <v>409486715.15799999</v>
      </c>
      <c r="U63" s="2">
        <v>6043730.4859999996</v>
      </c>
      <c r="V63" s="2">
        <v>10431301.333000001</v>
      </c>
      <c r="W63">
        <v>77</v>
      </c>
      <c r="X63">
        <v>3</v>
      </c>
      <c r="Y63">
        <v>14</v>
      </c>
      <c r="Z63">
        <v>6</v>
      </c>
      <c r="AA63">
        <v>1</v>
      </c>
      <c r="AB63">
        <v>1.0900000333786</v>
      </c>
      <c r="AC63">
        <v>4.0900001525878897</v>
      </c>
      <c r="AD63">
        <v>11639</v>
      </c>
      <c r="AE63">
        <v>1</v>
      </c>
      <c r="AF63">
        <v>3.5</v>
      </c>
      <c r="AG63">
        <v>100</v>
      </c>
      <c r="AH63">
        <v>0</v>
      </c>
      <c r="AI63">
        <v>0</v>
      </c>
      <c r="AJ63">
        <v>560742400</v>
      </c>
      <c r="AK63">
        <v>46358884</v>
      </c>
      <c r="AL63">
        <v>40019744</v>
      </c>
      <c r="AM63">
        <v>73041312</v>
      </c>
      <c r="AN63">
        <v>10328388</v>
      </c>
      <c r="AO63">
        <v>1967470</v>
      </c>
      <c r="AP63">
        <v>403.3</v>
      </c>
      <c r="AQ63">
        <v>0</v>
      </c>
      <c r="AR63">
        <f t="shared" si="0"/>
        <v>36333.332084678805</v>
      </c>
    </row>
    <row r="64" spans="1:44" x14ac:dyDescent="0.3">
      <c r="A64">
        <v>2006</v>
      </c>
      <c r="B64" t="s">
        <v>47</v>
      </c>
      <c r="C64">
        <v>131957</v>
      </c>
      <c r="D64">
        <v>11.1230001449584</v>
      </c>
      <c r="E64">
        <v>1.1419999599456701</v>
      </c>
      <c r="F64">
        <v>11283</v>
      </c>
      <c r="G64">
        <v>10180</v>
      </c>
      <c r="H64">
        <v>1103</v>
      </c>
      <c r="I64">
        <v>10731</v>
      </c>
      <c r="J64">
        <v>30.030000686645501</v>
      </c>
      <c r="K64">
        <v>1892</v>
      </c>
      <c r="L64">
        <v>960</v>
      </c>
      <c r="M64">
        <v>932</v>
      </c>
      <c r="N64">
        <v>69.745002746582003</v>
      </c>
      <c r="O64" s="1">
        <v>5878706</v>
      </c>
      <c r="P64">
        <v>929</v>
      </c>
      <c r="Q64">
        <v>941</v>
      </c>
      <c r="R64">
        <v>23</v>
      </c>
      <c r="S64" s="2">
        <v>469335605.66900003</v>
      </c>
      <c r="T64" s="2">
        <v>464906800.375</v>
      </c>
      <c r="U64" s="2">
        <v>4428805.2939999998</v>
      </c>
      <c r="V64" s="2">
        <v>11249652.015000001</v>
      </c>
      <c r="W64">
        <v>77</v>
      </c>
      <c r="X64">
        <v>3</v>
      </c>
      <c r="Y64">
        <v>14</v>
      </c>
      <c r="Z64">
        <v>6</v>
      </c>
      <c r="AA64">
        <v>1</v>
      </c>
      <c r="AB64">
        <v>1</v>
      </c>
      <c r="AC64">
        <v>4.0700001716613698</v>
      </c>
      <c r="AD64">
        <v>11311</v>
      </c>
      <c r="AE64">
        <v>1</v>
      </c>
      <c r="AF64">
        <v>3.5999999046325599</v>
      </c>
      <c r="AG64">
        <v>100</v>
      </c>
      <c r="AH64">
        <v>0</v>
      </c>
      <c r="AI64">
        <v>0</v>
      </c>
      <c r="AJ64">
        <v>596288960</v>
      </c>
      <c r="AK64">
        <v>46086920</v>
      </c>
      <c r="AL64">
        <v>41867328</v>
      </c>
      <c r="AM64">
        <v>101753336</v>
      </c>
      <c r="AN64">
        <v>29349000</v>
      </c>
      <c r="AO64">
        <v>1808661</v>
      </c>
      <c r="AP64">
        <v>416.2</v>
      </c>
      <c r="AQ64">
        <v>0</v>
      </c>
      <c r="AR64">
        <f t="shared" si="0"/>
        <v>37417.962292183045</v>
      </c>
    </row>
    <row r="65" spans="1:44" x14ac:dyDescent="0.3">
      <c r="A65">
        <v>2007</v>
      </c>
      <c r="B65" t="s">
        <v>47</v>
      </c>
      <c r="C65">
        <v>131957</v>
      </c>
      <c r="D65">
        <v>11.255999565124499</v>
      </c>
      <c r="E65">
        <v>1.0740000009536701</v>
      </c>
      <c r="F65">
        <v>11273</v>
      </c>
      <c r="G65">
        <v>9829</v>
      </c>
      <c r="H65">
        <v>1444</v>
      </c>
      <c r="I65">
        <v>10551</v>
      </c>
      <c r="J65">
        <v>34</v>
      </c>
      <c r="K65">
        <v>1733</v>
      </c>
      <c r="L65">
        <v>853</v>
      </c>
      <c r="M65">
        <v>880</v>
      </c>
      <c r="N65">
        <v>76.143997192382798</v>
      </c>
      <c r="O65" s="1">
        <v>6494932</v>
      </c>
      <c r="P65">
        <v>912</v>
      </c>
      <c r="Q65">
        <f>AVERAGE(Q62:Q64,Q66:Q67)</f>
        <v>938.6</v>
      </c>
      <c r="R65">
        <v>23</v>
      </c>
      <c r="S65" s="2">
        <v>534794707.96499997</v>
      </c>
      <c r="T65" s="2">
        <v>528562367.02399999</v>
      </c>
      <c r="U65" s="2">
        <v>6232340.9409999996</v>
      </c>
      <c r="V65" s="2">
        <v>6018630.6469999999</v>
      </c>
      <c r="W65">
        <v>76</v>
      </c>
      <c r="X65">
        <v>3</v>
      </c>
      <c r="Y65">
        <v>15</v>
      </c>
      <c r="Z65">
        <v>6</v>
      </c>
      <c r="AA65">
        <v>0.89999997615814198</v>
      </c>
      <c r="AB65">
        <v>1</v>
      </c>
      <c r="AC65">
        <v>4.0700001716613698</v>
      </c>
      <c r="AD65">
        <v>11382</v>
      </c>
      <c r="AE65">
        <v>1</v>
      </c>
      <c r="AF65">
        <v>3.5</v>
      </c>
      <c r="AG65">
        <v>100</v>
      </c>
      <c r="AH65">
        <v>0</v>
      </c>
      <c r="AI65">
        <v>0</v>
      </c>
      <c r="AJ65">
        <v>627657984</v>
      </c>
      <c r="AK65">
        <v>45077000</v>
      </c>
      <c r="AL65">
        <v>41000000</v>
      </c>
      <c r="AM65">
        <v>114175000</v>
      </c>
      <c r="AN65">
        <v>29910000</v>
      </c>
      <c r="AO65">
        <v>1667278</v>
      </c>
      <c r="AP65">
        <v>430.7</v>
      </c>
      <c r="AQ65">
        <v>1</v>
      </c>
      <c r="AR65">
        <f t="shared" si="0"/>
        <v>38264.038436397735</v>
      </c>
    </row>
    <row r="66" spans="1:44" x14ac:dyDescent="0.3">
      <c r="A66">
        <v>2008</v>
      </c>
      <c r="B66" t="s">
        <v>47</v>
      </c>
      <c r="C66">
        <v>131957</v>
      </c>
      <c r="D66">
        <v>11.291999816894499</v>
      </c>
      <c r="E66">
        <v>1.10699999332427</v>
      </c>
      <c r="F66">
        <v>11417</v>
      </c>
      <c r="G66">
        <v>9494</v>
      </c>
      <c r="H66">
        <v>1923</v>
      </c>
      <c r="I66">
        <v>10465</v>
      </c>
      <c r="J66">
        <v>35</v>
      </c>
      <c r="K66">
        <v>1663</v>
      </c>
      <c r="L66">
        <v>853</v>
      </c>
      <c r="M66">
        <v>810</v>
      </c>
      <c r="N66">
        <v>79.3489990234375</v>
      </c>
      <c r="O66" s="1">
        <v>6790022</v>
      </c>
      <c r="P66">
        <v>891</v>
      </c>
      <c r="Q66">
        <v>937</v>
      </c>
      <c r="R66">
        <v>20</v>
      </c>
      <c r="S66" s="2">
        <v>535395649.50300002</v>
      </c>
      <c r="T66" s="2">
        <v>537850394.76100004</v>
      </c>
      <c r="U66" s="2">
        <v>-2454745.2579999999</v>
      </c>
      <c r="V66" s="2">
        <v>4518881.6619999995</v>
      </c>
      <c r="W66">
        <v>76</v>
      </c>
      <c r="X66">
        <v>3</v>
      </c>
      <c r="Y66">
        <v>15</v>
      </c>
      <c r="Z66">
        <v>6</v>
      </c>
      <c r="AA66">
        <v>1</v>
      </c>
      <c r="AB66">
        <v>1</v>
      </c>
      <c r="AC66">
        <v>3.7999999523162802</v>
      </c>
      <c r="AD66">
        <v>10250</v>
      </c>
      <c r="AE66">
        <v>1</v>
      </c>
      <c r="AF66">
        <v>4.1999998092651296</v>
      </c>
      <c r="AG66">
        <v>100</v>
      </c>
      <c r="AH66">
        <v>0</v>
      </c>
      <c r="AI66">
        <v>0</v>
      </c>
      <c r="AJ66">
        <v>634542976</v>
      </c>
      <c r="AK66">
        <v>41618000</v>
      </c>
      <c r="AL66">
        <v>40720000</v>
      </c>
      <c r="AM66">
        <v>110222000</v>
      </c>
      <c r="AN66">
        <v>40648000</v>
      </c>
      <c r="AO66">
        <v>1479000</v>
      </c>
      <c r="AP66">
        <v>447.7</v>
      </c>
      <c r="AQ66">
        <v>1</v>
      </c>
      <c r="AR66">
        <f t="shared" si="0"/>
        <v>39647.538722961603</v>
      </c>
    </row>
    <row r="67" spans="1:44" x14ac:dyDescent="0.3">
      <c r="A67">
        <v>2009</v>
      </c>
      <c r="B67" t="s">
        <v>47</v>
      </c>
      <c r="C67">
        <v>131957</v>
      </c>
      <c r="D67">
        <v>11.3269996643066</v>
      </c>
      <c r="E67">
        <v>1.0880000591278001</v>
      </c>
      <c r="F67">
        <v>11086</v>
      </c>
      <c r="G67">
        <v>9202</v>
      </c>
      <c r="H67">
        <v>1884</v>
      </c>
      <c r="I67">
        <v>10144</v>
      </c>
      <c r="J67">
        <v>35</v>
      </c>
      <c r="K67">
        <v>1641</v>
      </c>
      <c r="L67">
        <v>851</v>
      </c>
      <c r="M67">
        <v>790</v>
      </c>
      <c r="N67">
        <v>80.413002014160099</v>
      </c>
      <c r="O67" s="1">
        <v>6902252</v>
      </c>
      <c r="P67">
        <v>895</v>
      </c>
      <c r="Q67">
        <v>938</v>
      </c>
      <c r="R67">
        <v>17</v>
      </c>
      <c r="S67" s="2">
        <v>531309905.16600001</v>
      </c>
      <c r="T67" s="2">
        <v>569446733.19700003</v>
      </c>
      <c r="U67" s="2">
        <v>-38136828.031000003</v>
      </c>
      <c r="V67" s="2">
        <v>-30226424.804000001</v>
      </c>
      <c r="W67">
        <v>75.5</v>
      </c>
      <c r="X67">
        <v>3.20000004768371</v>
      </c>
      <c r="Y67">
        <v>15.6000003814697</v>
      </c>
      <c r="Z67">
        <v>5.6999998092651296</v>
      </c>
      <c r="AA67">
        <v>0.80000001192092796</v>
      </c>
      <c r="AB67">
        <v>1</v>
      </c>
      <c r="AC67">
        <v>3.9000000953674299</v>
      </c>
      <c r="AD67">
        <v>10841</v>
      </c>
      <c r="AE67">
        <v>1</v>
      </c>
      <c r="AF67">
        <v>4.1999998092651296</v>
      </c>
      <c r="AG67">
        <v>100</v>
      </c>
      <c r="AH67">
        <v>0</v>
      </c>
      <c r="AI67">
        <v>0</v>
      </c>
      <c r="AJ67">
        <v>591982976</v>
      </c>
      <c r="AK67">
        <v>39799000</v>
      </c>
      <c r="AL67">
        <v>37377000</v>
      </c>
      <c r="AM67">
        <v>74835000</v>
      </c>
      <c r="AN67">
        <v>8000000</v>
      </c>
      <c r="AO67">
        <v>1551000</v>
      </c>
      <c r="AP67">
        <v>448.2</v>
      </c>
      <c r="AQ67">
        <v>2</v>
      </c>
      <c r="AR67">
        <f t="shared" ref="AR67:AR130" si="1">(AP67/D67)*1000</f>
        <v>39569.172180022062</v>
      </c>
    </row>
    <row r="68" spans="1:44" x14ac:dyDescent="0.3">
      <c r="A68">
        <v>2004</v>
      </c>
      <c r="B68" t="s">
        <v>48</v>
      </c>
      <c r="C68">
        <v>93032</v>
      </c>
      <c r="D68">
        <v>10.1129999160766</v>
      </c>
      <c r="E68">
        <v>279.99200439453102</v>
      </c>
      <c r="F68">
        <v>39682</v>
      </c>
      <c r="G68">
        <v>31846</v>
      </c>
      <c r="H68">
        <v>7836</v>
      </c>
      <c r="I68">
        <v>36824</v>
      </c>
      <c r="J68">
        <f>AVERAGE(J69:J76)</f>
        <v>48.601250171661334</v>
      </c>
      <c r="K68">
        <v>2824</v>
      </c>
      <c r="L68">
        <v>2508</v>
      </c>
      <c r="M68">
        <v>316</v>
      </c>
      <c r="N68">
        <v>32.943000793457003</v>
      </c>
      <c r="O68" s="1">
        <v>3581186</v>
      </c>
      <c r="P68">
        <v>1049</v>
      </c>
      <c r="Q68">
        <v>2824</v>
      </c>
      <c r="R68">
        <v>20</v>
      </c>
      <c r="S68" s="2">
        <v>561482553.07299995</v>
      </c>
      <c r="T68">
        <v>545986112</v>
      </c>
      <c r="U68" s="2">
        <v>15496414.183</v>
      </c>
      <c r="V68" s="2">
        <f>AVERAGE(V69:V76)</f>
        <v>13512336.7465</v>
      </c>
      <c r="W68">
        <v>42</v>
      </c>
      <c r="X68">
        <v>4</v>
      </c>
      <c r="Y68">
        <v>27</v>
      </c>
      <c r="Z68">
        <v>27</v>
      </c>
      <c r="AA68">
        <v>1</v>
      </c>
      <c r="AB68">
        <v>1</v>
      </c>
      <c r="AC68">
        <v>6.3000001907348597</v>
      </c>
      <c r="AD68">
        <v>19196</v>
      </c>
      <c r="AE68">
        <v>1</v>
      </c>
      <c r="AF68">
        <v>5</v>
      </c>
      <c r="AG68">
        <v>100</v>
      </c>
      <c r="AH68">
        <v>0</v>
      </c>
      <c r="AI68">
        <v>0</v>
      </c>
      <c r="AJ68">
        <v>1057069568</v>
      </c>
      <c r="AK68">
        <v>12853513</v>
      </c>
      <c r="AL68">
        <v>15368000</v>
      </c>
      <c r="AM68">
        <v>344250240</v>
      </c>
      <c r="AN68">
        <v>297234752</v>
      </c>
      <c r="AO68">
        <v>6758293</v>
      </c>
      <c r="AP68">
        <v>268.60000000000002</v>
      </c>
      <c r="AQ68">
        <v>3</v>
      </c>
      <c r="AR68">
        <f t="shared" si="1"/>
        <v>26559.87365064718</v>
      </c>
    </row>
    <row r="69" spans="1:44" x14ac:dyDescent="0.3">
      <c r="A69">
        <v>2005</v>
      </c>
      <c r="B69" t="s">
        <v>48</v>
      </c>
      <c r="C69">
        <v>93032</v>
      </c>
      <c r="D69">
        <v>10.086000442504799</v>
      </c>
      <c r="E69">
        <v>305.26300048828102</v>
      </c>
      <c r="F69">
        <v>39098</v>
      </c>
      <c r="G69">
        <v>31893</v>
      </c>
      <c r="H69">
        <v>7205</v>
      </c>
      <c r="I69">
        <v>37657</v>
      </c>
      <c r="J69">
        <v>47.380001068115199</v>
      </c>
      <c r="K69">
        <v>2844</v>
      </c>
      <c r="L69">
        <v>2512</v>
      </c>
      <c r="M69">
        <v>332</v>
      </c>
      <c r="N69">
        <v>32.712001800537102</v>
      </c>
      <c r="O69">
        <v>3546.55004882812</v>
      </c>
      <c r="P69">
        <v>1049</v>
      </c>
      <c r="Q69">
        <v>2844</v>
      </c>
      <c r="R69">
        <v>20</v>
      </c>
      <c r="S69" s="2">
        <v>544085932.45799994</v>
      </c>
      <c r="T69">
        <v>521825376</v>
      </c>
      <c r="U69" s="2">
        <v>22260558.927999999</v>
      </c>
      <c r="V69" s="2">
        <v>19182318.197999999</v>
      </c>
      <c r="W69">
        <v>43</v>
      </c>
      <c r="X69">
        <v>4</v>
      </c>
      <c r="Y69">
        <v>28</v>
      </c>
      <c r="Z69">
        <v>25</v>
      </c>
      <c r="AA69">
        <v>1</v>
      </c>
      <c r="AB69">
        <v>1</v>
      </c>
      <c r="AC69">
        <v>6.3000001907348597</v>
      </c>
      <c r="AD69">
        <v>15487</v>
      </c>
      <c r="AE69">
        <v>1</v>
      </c>
      <c r="AF69">
        <v>5</v>
      </c>
      <c r="AG69">
        <v>100</v>
      </c>
      <c r="AH69">
        <v>0</v>
      </c>
      <c r="AI69">
        <v>0</v>
      </c>
      <c r="AJ69">
        <v>911527680</v>
      </c>
      <c r="AK69">
        <v>15475000</v>
      </c>
      <c r="AL69">
        <v>15377000</v>
      </c>
      <c r="AM69">
        <v>442029216</v>
      </c>
      <c r="AN69">
        <v>375008160</v>
      </c>
      <c r="AO69">
        <v>5199169</v>
      </c>
      <c r="AP69">
        <v>302.8</v>
      </c>
      <c r="AQ69">
        <v>3</v>
      </c>
      <c r="AR69">
        <f t="shared" si="1"/>
        <v>30021.811096094043</v>
      </c>
    </row>
    <row r="70" spans="1:44" x14ac:dyDescent="0.3">
      <c r="A70">
        <v>2006</v>
      </c>
      <c r="B70" t="s">
        <v>48</v>
      </c>
      <c r="C70">
        <v>93032</v>
      </c>
      <c r="D70">
        <v>10.057999610900801</v>
      </c>
      <c r="E70">
        <v>288.27301025390602</v>
      </c>
      <c r="F70">
        <v>38620</v>
      </c>
      <c r="G70">
        <v>31882</v>
      </c>
      <c r="H70">
        <v>6738</v>
      </c>
      <c r="I70">
        <v>36750</v>
      </c>
      <c r="J70">
        <v>48</v>
      </c>
      <c r="K70">
        <v>2860</v>
      </c>
      <c r="L70">
        <v>2507</v>
      </c>
      <c r="M70">
        <v>353</v>
      </c>
      <c r="N70">
        <v>32.528999328613203</v>
      </c>
      <c r="O70" s="1">
        <v>3516934</v>
      </c>
      <c r="P70">
        <v>1140</v>
      </c>
      <c r="Q70">
        <v>3197</v>
      </c>
      <c r="R70">
        <v>20</v>
      </c>
      <c r="S70" s="2">
        <v>612923312.27699995</v>
      </c>
      <c r="T70" s="2">
        <v>592188318.01800001</v>
      </c>
      <c r="U70" s="2">
        <v>20734994.259</v>
      </c>
      <c r="V70" s="2">
        <v>16994591.932</v>
      </c>
      <c r="W70">
        <v>44</v>
      </c>
      <c r="X70">
        <v>4</v>
      </c>
      <c r="Y70">
        <v>28</v>
      </c>
      <c r="Z70">
        <v>24</v>
      </c>
      <c r="AA70">
        <v>1</v>
      </c>
      <c r="AB70">
        <v>1</v>
      </c>
      <c r="AC70">
        <v>6.3000001907348597</v>
      </c>
      <c r="AD70">
        <v>13514</v>
      </c>
      <c r="AE70">
        <v>1</v>
      </c>
      <c r="AF70">
        <v>5</v>
      </c>
      <c r="AG70">
        <v>100</v>
      </c>
      <c r="AH70">
        <v>0</v>
      </c>
      <c r="AI70">
        <v>0</v>
      </c>
      <c r="AJ70">
        <v>936705920</v>
      </c>
      <c r="AK70">
        <v>13837000</v>
      </c>
      <c r="AL70">
        <v>15930000</v>
      </c>
      <c r="AM70">
        <v>624668480</v>
      </c>
      <c r="AN70">
        <v>541017728</v>
      </c>
      <c r="AO70">
        <v>3220598</v>
      </c>
      <c r="AP70">
        <v>317.39999999999998</v>
      </c>
      <c r="AQ70">
        <v>3</v>
      </c>
      <c r="AR70">
        <f t="shared" si="1"/>
        <v>31556.970797255126</v>
      </c>
    </row>
    <row r="71" spans="1:44" x14ac:dyDescent="0.3">
      <c r="A71">
        <v>2007</v>
      </c>
      <c r="B71" t="s">
        <v>48</v>
      </c>
      <c r="C71">
        <v>93032</v>
      </c>
      <c r="D71">
        <v>10.043000221252401</v>
      </c>
      <c r="E71">
        <v>272.766998291015</v>
      </c>
      <c r="F71">
        <v>36430</v>
      </c>
      <c r="G71">
        <v>30950</v>
      </c>
      <c r="H71">
        <v>5480</v>
      </c>
      <c r="I71">
        <v>34888</v>
      </c>
      <c r="J71">
        <v>49.560001373291001</v>
      </c>
      <c r="K71">
        <v>2880</v>
      </c>
      <c r="L71">
        <v>2524</v>
      </c>
      <c r="M71">
        <v>356</v>
      </c>
      <c r="N71">
        <v>32.303001403808501</v>
      </c>
      <c r="O71" s="1">
        <v>3487004</v>
      </c>
      <c r="P71">
        <v>1312</v>
      </c>
      <c r="Q71">
        <v>3100</v>
      </c>
      <c r="R71">
        <v>20</v>
      </c>
      <c r="S71" s="2">
        <v>672217988.24600005</v>
      </c>
      <c r="T71" s="2">
        <v>652467197.278</v>
      </c>
      <c r="U71" s="2">
        <v>19750790.967999998</v>
      </c>
      <c r="V71">
        <v>17563158</v>
      </c>
      <c r="W71">
        <v>44</v>
      </c>
      <c r="X71">
        <v>4</v>
      </c>
      <c r="Y71">
        <v>28</v>
      </c>
      <c r="Z71">
        <v>24</v>
      </c>
      <c r="AA71">
        <v>1</v>
      </c>
      <c r="AB71">
        <v>1</v>
      </c>
      <c r="AC71">
        <v>5</v>
      </c>
      <c r="AD71">
        <v>10710</v>
      </c>
      <c r="AE71">
        <v>1</v>
      </c>
      <c r="AF71">
        <v>5</v>
      </c>
      <c r="AG71">
        <v>100</v>
      </c>
      <c r="AH71">
        <v>0</v>
      </c>
      <c r="AI71">
        <v>0</v>
      </c>
      <c r="AJ71">
        <v>937033920</v>
      </c>
      <c r="AK71">
        <v>13590000</v>
      </c>
      <c r="AL71">
        <v>21166000</v>
      </c>
      <c r="AM71">
        <v>737623808</v>
      </c>
      <c r="AN71">
        <v>708993536</v>
      </c>
      <c r="AO71">
        <v>2349278</v>
      </c>
      <c r="AP71">
        <v>356.6</v>
      </c>
      <c r="AQ71">
        <v>3</v>
      </c>
      <c r="AR71">
        <f t="shared" si="1"/>
        <v>35507.317748075351</v>
      </c>
    </row>
    <row r="72" spans="1:44" x14ac:dyDescent="0.3">
      <c r="A72">
        <v>2008</v>
      </c>
      <c r="B72" t="s">
        <v>48</v>
      </c>
      <c r="C72">
        <v>93032</v>
      </c>
      <c r="D72">
        <v>10.022000312805099</v>
      </c>
      <c r="E72">
        <v>289.43200683593699</v>
      </c>
      <c r="F72">
        <v>35929</v>
      </c>
      <c r="G72">
        <v>30653</v>
      </c>
      <c r="H72">
        <v>5276</v>
      </c>
      <c r="I72">
        <v>34526</v>
      </c>
      <c r="J72">
        <v>50.029998779296797</v>
      </c>
      <c r="K72">
        <v>2741</v>
      </c>
      <c r="L72">
        <v>2414</v>
      </c>
      <c r="M72">
        <v>327</v>
      </c>
      <c r="N72">
        <v>33.941001892089801</v>
      </c>
      <c r="O72" s="1">
        <v>3656288</v>
      </c>
      <c r="P72">
        <v>1298</v>
      </c>
      <c r="Q72">
        <v>3098</v>
      </c>
      <c r="R72">
        <v>16</v>
      </c>
      <c r="S72">
        <v>703571584</v>
      </c>
      <c r="T72" s="2">
        <v>676401752.398</v>
      </c>
      <c r="U72" s="2">
        <v>27169815.362</v>
      </c>
      <c r="V72" s="2">
        <v>26636781.697000001</v>
      </c>
      <c r="W72">
        <v>44</v>
      </c>
      <c r="X72">
        <v>4</v>
      </c>
      <c r="Y72">
        <v>28</v>
      </c>
      <c r="Z72">
        <v>24</v>
      </c>
      <c r="AA72">
        <v>1</v>
      </c>
      <c r="AB72">
        <v>1</v>
      </c>
      <c r="AC72">
        <v>5</v>
      </c>
      <c r="AD72">
        <v>9540</v>
      </c>
      <c r="AE72">
        <v>1</v>
      </c>
      <c r="AF72">
        <v>5</v>
      </c>
      <c r="AG72">
        <v>100</v>
      </c>
      <c r="AH72">
        <v>0</v>
      </c>
      <c r="AI72">
        <v>0</v>
      </c>
      <c r="AJ72">
        <v>893369536</v>
      </c>
      <c r="AK72">
        <v>14916000</v>
      </c>
      <c r="AL72">
        <v>20092000</v>
      </c>
      <c r="AM72">
        <v>751820928</v>
      </c>
      <c r="AN72">
        <v>728217024</v>
      </c>
      <c r="AO72">
        <v>2122678</v>
      </c>
      <c r="AP72">
        <v>389.8</v>
      </c>
      <c r="AQ72">
        <v>3</v>
      </c>
      <c r="AR72">
        <f t="shared" si="1"/>
        <v>38894.431035085174</v>
      </c>
    </row>
    <row r="73" spans="1:44" x14ac:dyDescent="0.3">
      <c r="A73">
        <v>2009</v>
      </c>
      <c r="B73" t="s">
        <v>48</v>
      </c>
      <c r="C73">
        <v>93032</v>
      </c>
      <c r="D73">
        <v>10.0019998550415</v>
      </c>
      <c r="E73">
        <v>294.83599853515602</v>
      </c>
      <c r="F73">
        <v>35590</v>
      </c>
      <c r="G73">
        <v>30440</v>
      </c>
      <c r="H73">
        <v>5150</v>
      </c>
      <c r="I73">
        <v>34257</v>
      </c>
      <c r="J73">
        <v>49.840000152587798</v>
      </c>
      <c r="K73">
        <v>2738</v>
      </c>
      <c r="L73">
        <v>2061</v>
      </c>
      <c r="M73">
        <v>677</v>
      </c>
      <c r="N73">
        <v>33.978000640869098</v>
      </c>
      <c r="O73" s="1">
        <v>3653122</v>
      </c>
      <c r="P73">
        <v>1177</v>
      </c>
      <c r="Q73">
        <v>3095</v>
      </c>
      <c r="R73">
        <v>15</v>
      </c>
      <c r="S73" s="2">
        <v>667754521.15799999</v>
      </c>
      <c r="T73" s="2">
        <v>648473537.83099997</v>
      </c>
      <c r="U73" s="2">
        <v>19280983.327</v>
      </c>
      <c r="V73" s="2">
        <v>22131364.555</v>
      </c>
      <c r="W73">
        <v>44</v>
      </c>
      <c r="X73">
        <v>4</v>
      </c>
      <c r="Y73">
        <v>29</v>
      </c>
      <c r="Z73">
        <v>23</v>
      </c>
      <c r="AA73">
        <v>1</v>
      </c>
      <c r="AB73">
        <v>1</v>
      </c>
      <c r="AC73">
        <v>5</v>
      </c>
      <c r="AD73">
        <v>8939</v>
      </c>
      <c r="AE73">
        <v>1</v>
      </c>
      <c r="AF73">
        <v>5</v>
      </c>
      <c r="AG73">
        <v>100</v>
      </c>
      <c r="AH73">
        <v>0</v>
      </c>
      <c r="AI73">
        <v>0</v>
      </c>
      <c r="AJ73">
        <v>885007488</v>
      </c>
      <c r="AK73">
        <v>12523000</v>
      </c>
      <c r="AL73">
        <v>18042000</v>
      </c>
      <c r="AM73">
        <v>730332224</v>
      </c>
      <c r="AN73">
        <v>707661888</v>
      </c>
      <c r="AO73">
        <v>1975726</v>
      </c>
      <c r="AP73">
        <v>357.1</v>
      </c>
      <c r="AQ73">
        <v>3</v>
      </c>
      <c r="AR73">
        <f t="shared" si="1"/>
        <v>35702.859945554192</v>
      </c>
    </row>
    <row r="74" spans="1:44" x14ac:dyDescent="0.3">
      <c r="A74">
        <v>2010</v>
      </c>
      <c r="B74" t="s">
        <v>48</v>
      </c>
      <c r="C74">
        <v>93032</v>
      </c>
      <c r="D74">
        <v>9.9840002059936506</v>
      </c>
      <c r="E74">
        <v>325.51800537109301</v>
      </c>
      <c r="F74">
        <v>34108</v>
      </c>
      <c r="G74">
        <v>29154</v>
      </c>
      <c r="H74">
        <v>4954</v>
      </c>
      <c r="I74">
        <v>32914</v>
      </c>
      <c r="J74">
        <v>49.299999237060497</v>
      </c>
      <c r="K74">
        <v>2745</v>
      </c>
      <c r="L74">
        <v>2031</v>
      </c>
      <c r="M74">
        <v>714</v>
      </c>
      <c r="N74">
        <v>33.890998840332003</v>
      </c>
      <c r="O74" s="1">
        <v>3637029</v>
      </c>
      <c r="P74">
        <v>1142</v>
      </c>
      <c r="Q74">
        <v>3264</v>
      </c>
      <c r="R74">
        <v>15</v>
      </c>
      <c r="S74" s="2">
        <v>593378234.07599998</v>
      </c>
      <c r="T74" s="2">
        <v>581878823.90499997</v>
      </c>
      <c r="U74" s="2">
        <v>11499410.171</v>
      </c>
      <c r="V74" s="2">
        <v>9871005.5969999991</v>
      </c>
      <c r="W74">
        <v>46</v>
      </c>
      <c r="X74">
        <v>4</v>
      </c>
      <c r="Y74">
        <v>29</v>
      </c>
      <c r="Z74">
        <v>21</v>
      </c>
      <c r="AA74">
        <v>1</v>
      </c>
      <c r="AB74">
        <v>1</v>
      </c>
      <c r="AC74">
        <v>5</v>
      </c>
      <c r="AD74">
        <v>8988</v>
      </c>
      <c r="AE74">
        <v>1</v>
      </c>
      <c r="AF74">
        <v>5</v>
      </c>
      <c r="AG74">
        <v>100</v>
      </c>
      <c r="AH74">
        <v>0</v>
      </c>
      <c r="AI74">
        <v>0</v>
      </c>
      <c r="AJ74">
        <v>870127488</v>
      </c>
      <c r="AK74">
        <v>12494000</v>
      </c>
      <c r="AL74">
        <v>18151000</v>
      </c>
      <c r="AM74">
        <v>718466240</v>
      </c>
      <c r="AN74">
        <v>693569152</v>
      </c>
      <c r="AO74">
        <v>1901014</v>
      </c>
      <c r="AP74">
        <v>367.5</v>
      </c>
      <c r="AQ74">
        <v>4</v>
      </c>
      <c r="AR74">
        <f t="shared" si="1"/>
        <v>36808.893471314273</v>
      </c>
    </row>
    <row r="75" spans="1:44" x14ac:dyDescent="0.3">
      <c r="A75">
        <v>2011</v>
      </c>
      <c r="B75" t="s">
        <v>48</v>
      </c>
      <c r="C75">
        <v>93032</v>
      </c>
      <c r="D75">
        <v>9.9659996032714808</v>
      </c>
      <c r="E75">
        <v>369.50900268554602</v>
      </c>
      <c r="F75">
        <v>33960</v>
      </c>
      <c r="G75">
        <v>28592</v>
      </c>
      <c r="H75">
        <v>5368</v>
      </c>
      <c r="I75">
        <v>32668</v>
      </c>
      <c r="J75">
        <v>47.700000762939403</v>
      </c>
      <c r="K75">
        <v>2746</v>
      </c>
      <c r="L75">
        <v>2197</v>
      </c>
      <c r="M75">
        <v>549</v>
      </c>
      <c r="N75">
        <v>33.879001617431598</v>
      </c>
      <c r="O75" s="1">
        <v>3629321</v>
      </c>
      <c r="P75">
        <v>1190</v>
      </c>
      <c r="Q75">
        <v>3265</v>
      </c>
      <c r="R75">
        <v>15</v>
      </c>
      <c r="S75" s="2">
        <v>532216603.65499997</v>
      </c>
      <c r="T75" s="2">
        <v>524759459.17400002</v>
      </c>
      <c r="U75" s="2">
        <v>7457144.4809999997</v>
      </c>
      <c r="V75" s="2">
        <v>5642693.4119999995</v>
      </c>
      <c r="W75">
        <v>45</v>
      </c>
      <c r="X75">
        <v>5</v>
      </c>
      <c r="Y75">
        <v>29</v>
      </c>
      <c r="Z75">
        <v>21</v>
      </c>
      <c r="AA75">
        <v>1</v>
      </c>
      <c r="AB75">
        <v>1</v>
      </c>
      <c r="AC75">
        <v>5</v>
      </c>
      <c r="AD75">
        <v>9001</v>
      </c>
      <c r="AE75">
        <v>1</v>
      </c>
      <c r="AF75">
        <v>5</v>
      </c>
      <c r="AG75">
        <v>100</v>
      </c>
      <c r="AH75">
        <v>0</v>
      </c>
      <c r="AI75">
        <v>0</v>
      </c>
      <c r="AJ75">
        <v>857056640</v>
      </c>
      <c r="AK75">
        <v>12678017</v>
      </c>
      <c r="AL75">
        <v>20065696</v>
      </c>
      <c r="AM75">
        <v>661865024</v>
      </c>
      <c r="AN75">
        <v>625294272</v>
      </c>
      <c r="AO75">
        <v>1640970</v>
      </c>
      <c r="AP75">
        <v>372.2</v>
      </c>
      <c r="AQ75">
        <v>4</v>
      </c>
      <c r="AR75">
        <f t="shared" si="1"/>
        <v>37346.981217801782</v>
      </c>
    </row>
    <row r="76" spans="1:44" x14ac:dyDescent="0.3">
      <c r="A76">
        <v>2012</v>
      </c>
      <c r="B76" t="s">
        <v>48</v>
      </c>
      <c r="C76">
        <v>93032</v>
      </c>
      <c r="D76">
        <v>9.9499998092651296</v>
      </c>
      <c r="E76">
        <v>339.552001953125</v>
      </c>
      <c r="F76">
        <v>33619</v>
      </c>
      <c r="G76">
        <v>27790</v>
      </c>
      <c r="H76">
        <v>5829</v>
      </c>
      <c r="I76">
        <v>32236</v>
      </c>
      <c r="J76">
        <v>47</v>
      </c>
      <c r="K76">
        <v>2739</v>
      </c>
      <c r="L76">
        <v>2224</v>
      </c>
      <c r="M76">
        <v>515</v>
      </c>
      <c r="N76">
        <v>33.965999603271399</v>
      </c>
      <c r="O76" s="1">
        <v>3632563</v>
      </c>
      <c r="P76">
        <v>1155</v>
      </c>
      <c r="Q76">
        <v>3264</v>
      </c>
      <c r="R76">
        <v>15</v>
      </c>
      <c r="S76" s="2">
        <v>592276016.63399994</v>
      </c>
      <c r="T76" s="2">
        <v>599490222.41100001</v>
      </c>
      <c r="U76" s="2">
        <v>-7214205.7769999998</v>
      </c>
      <c r="V76" s="2">
        <v>-9923219.4189999998</v>
      </c>
      <c r="W76">
        <v>46</v>
      </c>
      <c r="X76">
        <v>5</v>
      </c>
      <c r="Y76">
        <v>29</v>
      </c>
      <c r="Z76">
        <v>20</v>
      </c>
      <c r="AA76">
        <v>1</v>
      </c>
      <c r="AB76">
        <v>1</v>
      </c>
      <c r="AC76">
        <v>5</v>
      </c>
      <c r="AD76">
        <v>8999</v>
      </c>
      <c r="AE76">
        <v>1</v>
      </c>
      <c r="AF76">
        <v>5</v>
      </c>
      <c r="AG76">
        <v>100</v>
      </c>
      <c r="AH76">
        <v>0</v>
      </c>
      <c r="AI76">
        <v>0</v>
      </c>
      <c r="AJ76">
        <v>800775680</v>
      </c>
      <c r="AK76">
        <v>10684956</v>
      </c>
      <c r="AL76">
        <v>15709652</v>
      </c>
      <c r="AM76">
        <v>820587520</v>
      </c>
      <c r="AN76">
        <v>784403904</v>
      </c>
      <c r="AO76">
        <v>1492073</v>
      </c>
      <c r="AP76">
        <v>321.93</v>
      </c>
      <c r="AQ76">
        <v>4</v>
      </c>
      <c r="AR76">
        <f t="shared" si="1"/>
        <v>32354.774489566204</v>
      </c>
    </row>
    <row r="77" spans="1:44" x14ac:dyDescent="0.3">
      <c r="A77">
        <v>2004</v>
      </c>
      <c r="B77" t="s">
        <v>49</v>
      </c>
      <c r="C77">
        <v>70273</v>
      </c>
      <c r="D77">
        <v>4.0679998397827104</v>
      </c>
      <c r="E77">
        <v>1.1399999856948799</v>
      </c>
      <c r="F77">
        <v>9647</v>
      </c>
      <c r="G77">
        <v>8424</v>
      </c>
      <c r="H77">
        <v>1223</v>
      </c>
      <c r="I77">
        <v>9164</v>
      </c>
      <c r="J77">
        <v>22</v>
      </c>
      <c r="K77">
        <v>1604</v>
      </c>
      <c r="L77">
        <v>89</v>
      </c>
      <c r="M77">
        <v>1515</v>
      </c>
      <c r="N77">
        <v>43.811000823974602</v>
      </c>
      <c r="O77" s="1">
        <v>2535995</v>
      </c>
      <c r="P77">
        <v>0</v>
      </c>
      <c r="Q77">
        <v>1195</v>
      </c>
      <c r="R77">
        <v>87</v>
      </c>
      <c r="S77" s="2">
        <v>657977827.67299998</v>
      </c>
      <c r="T77">
        <v>656399104</v>
      </c>
      <c r="U77" s="2">
        <v>1578725.7930000001</v>
      </c>
      <c r="V77" s="2">
        <v>5700954.2520000003</v>
      </c>
      <c r="W77">
        <v>70.5</v>
      </c>
      <c r="X77">
        <f>AVERAGE(X81:X82)</f>
        <v>5.5</v>
      </c>
      <c r="Y77">
        <v>18</v>
      </c>
      <c r="Z77">
        <v>11.5</v>
      </c>
      <c r="AA77">
        <f>AVERAGE(AA79,AA81:AA85)</f>
        <v>0.32666667799154914</v>
      </c>
      <c r="AB77">
        <v>2</v>
      </c>
      <c r="AC77">
        <v>5</v>
      </c>
      <c r="AD77">
        <v>6200</v>
      </c>
      <c r="AE77">
        <v>1</v>
      </c>
      <c r="AF77">
        <v>5</v>
      </c>
      <c r="AG77">
        <v>100</v>
      </c>
      <c r="AH77">
        <v>0</v>
      </c>
      <c r="AI77">
        <v>0</v>
      </c>
      <c r="AJ77">
        <v>509000000</v>
      </c>
      <c r="AK77">
        <v>91400000</v>
      </c>
      <c r="AL77">
        <v>98500000</v>
      </c>
      <c r="AM77">
        <v>131500000</v>
      </c>
      <c r="AN77">
        <v>86900000</v>
      </c>
      <c r="AO77">
        <v>6200000</v>
      </c>
      <c r="AP77">
        <v>515</v>
      </c>
      <c r="AQ77">
        <v>4</v>
      </c>
      <c r="AR77">
        <f t="shared" si="1"/>
        <v>126597.84176085622</v>
      </c>
    </row>
    <row r="78" spans="1:44" x14ac:dyDescent="0.3">
      <c r="A78">
        <v>2005</v>
      </c>
      <c r="B78" t="s">
        <v>49</v>
      </c>
      <c r="C78">
        <v>70273</v>
      </c>
      <c r="D78">
        <v>4.143000125885</v>
      </c>
      <c r="E78">
        <v>1.2120000123977599</v>
      </c>
      <c r="F78">
        <v>9465</v>
      </c>
      <c r="G78">
        <v>8357</v>
      </c>
      <c r="H78">
        <v>1108</v>
      </c>
      <c r="I78">
        <v>8966</v>
      </c>
      <c r="J78">
        <v>23</v>
      </c>
      <c r="K78">
        <v>1570</v>
      </c>
      <c r="L78">
        <v>88</v>
      </c>
      <c r="M78">
        <v>1482</v>
      </c>
      <c r="N78">
        <v>44.759998321533203</v>
      </c>
      <c r="O78" s="1">
        <v>2639041</v>
      </c>
      <c r="P78">
        <v>0</v>
      </c>
      <c r="Q78">
        <v>1181</v>
      </c>
      <c r="R78">
        <v>87</v>
      </c>
      <c r="S78" s="2">
        <v>621435351.40900004</v>
      </c>
      <c r="T78" s="2">
        <v>608064050.18400002</v>
      </c>
      <c r="U78" s="2">
        <v>13371301.225</v>
      </c>
      <c r="V78" s="2">
        <v>33593330.857000001</v>
      </c>
      <c r="W78">
        <v>72.199996948242102</v>
      </c>
      <c r="X78">
        <f>AVERAGE(X81:X82)</f>
        <v>5.5</v>
      </c>
      <c r="Y78">
        <v>18.100000381469702</v>
      </c>
      <c r="Z78">
        <v>9.6999998092651296</v>
      </c>
      <c r="AA78">
        <f>AVERAGE(AA79,AA81:AA85)</f>
        <v>0.32666667799154914</v>
      </c>
      <c r="AB78">
        <v>2</v>
      </c>
      <c r="AC78">
        <v>5</v>
      </c>
      <c r="AD78">
        <v>6200</v>
      </c>
      <c r="AE78">
        <v>1</v>
      </c>
      <c r="AF78">
        <v>5</v>
      </c>
      <c r="AG78">
        <v>100</v>
      </c>
      <c r="AH78">
        <v>0</v>
      </c>
      <c r="AI78">
        <v>0</v>
      </c>
      <c r="AJ78">
        <v>499000000</v>
      </c>
      <c r="AK78">
        <v>89200000</v>
      </c>
      <c r="AL78">
        <v>90600000</v>
      </c>
      <c r="AM78">
        <v>147200000</v>
      </c>
      <c r="AN78">
        <v>102000000</v>
      </c>
      <c r="AO78">
        <v>3400000</v>
      </c>
      <c r="AP78">
        <v>544</v>
      </c>
      <c r="AQ78">
        <v>4</v>
      </c>
      <c r="AR78">
        <f t="shared" si="1"/>
        <v>131305.8130510663</v>
      </c>
    </row>
    <row r="79" spans="1:44" x14ac:dyDescent="0.3">
      <c r="A79">
        <v>2006</v>
      </c>
      <c r="B79" t="s">
        <v>49</v>
      </c>
      <c r="C79">
        <v>70273</v>
      </c>
      <c r="D79">
        <v>4.2210001945495597</v>
      </c>
      <c r="E79">
        <v>1.1419999599456701</v>
      </c>
      <c r="F79">
        <v>9451</v>
      </c>
      <c r="G79">
        <v>8140</v>
      </c>
      <c r="H79">
        <v>1311</v>
      </c>
      <c r="I79">
        <v>8868</v>
      </c>
      <c r="J79">
        <v>24</v>
      </c>
      <c r="K79">
        <v>1532</v>
      </c>
      <c r="L79">
        <v>84</v>
      </c>
      <c r="M79">
        <v>1448</v>
      </c>
      <c r="N79">
        <v>45.869998931884702</v>
      </c>
      <c r="O79" s="1">
        <v>2755364</v>
      </c>
      <c r="P79">
        <v>0</v>
      </c>
      <c r="Q79">
        <v>1147</v>
      </c>
      <c r="R79">
        <v>87</v>
      </c>
      <c r="S79" s="2">
        <v>716805714.83599997</v>
      </c>
      <c r="T79" s="2">
        <v>704024372.09500003</v>
      </c>
      <c r="U79" s="2">
        <v>12781342.741</v>
      </c>
      <c r="V79" s="2">
        <v>84566966.356999993</v>
      </c>
      <c r="W79">
        <v>72.599998474120994</v>
      </c>
      <c r="X79">
        <f>AVERAGE(X81:X82)</f>
        <v>5.5</v>
      </c>
      <c r="Y79">
        <v>17.600000381469702</v>
      </c>
      <c r="Z79">
        <v>9.8000001907348597</v>
      </c>
      <c r="AA79">
        <v>0.36000001430511502</v>
      </c>
      <c r="AB79">
        <v>2</v>
      </c>
      <c r="AC79">
        <v>5</v>
      </c>
      <c r="AD79">
        <v>6200</v>
      </c>
      <c r="AE79">
        <v>1</v>
      </c>
      <c r="AF79">
        <v>5</v>
      </c>
      <c r="AG79">
        <v>100</v>
      </c>
      <c r="AH79">
        <v>0</v>
      </c>
      <c r="AI79">
        <v>0</v>
      </c>
      <c r="AJ79">
        <v>535000000</v>
      </c>
      <c r="AK79">
        <v>83000000</v>
      </c>
      <c r="AL79">
        <v>103000000</v>
      </c>
      <c r="AM79">
        <v>149000000</v>
      </c>
      <c r="AN79">
        <v>101000000</v>
      </c>
      <c r="AO79">
        <v>3400000</v>
      </c>
      <c r="AP79">
        <v>594.29999999999995</v>
      </c>
      <c r="AQ79">
        <v>0</v>
      </c>
      <c r="AR79">
        <f t="shared" si="1"/>
        <v>140796.01341108684</v>
      </c>
    </row>
    <row r="80" spans="1:44" x14ac:dyDescent="0.3">
      <c r="A80">
        <v>2007</v>
      </c>
      <c r="B80" t="s">
        <v>49</v>
      </c>
      <c r="C80">
        <v>70273</v>
      </c>
      <c r="D80">
        <v>4.2909998893737704</v>
      </c>
      <c r="E80">
        <v>1.0740000009536701</v>
      </c>
      <c r="F80">
        <v>9513</v>
      </c>
      <c r="G80">
        <v>7541</v>
      </c>
      <c r="H80">
        <v>1972</v>
      </c>
      <c r="I80">
        <v>8896</v>
      </c>
      <c r="J80">
        <v>24</v>
      </c>
      <c r="K80">
        <v>1286</v>
      </c>
      <c r="L80">
        <v>74</v>
      </c>
      <c r="M80">
        <v>1212</v>
      </c>
      <c r="N80">
        <v>54.645000457763601</v>
      </c>
      <c r="O80" s="1">
        <v>3336904</v>
      </c>
      <c r="P80">
        <v>0</v>
      </c>
      <c r="Q80">
        <v>1132</v>
      </c>
      <c r="R80">
        <v>4</v>
      </c>
      <c r="S80" s="2">
        <v>816006520.727</v>
      </c>
      <c r="T80" s="2">
        <v>788874708.89600003</v>
      </c>
      <c r="U80" s="2">
        <v>27131811.831</v>
      </c>
      <c r="V80" s="2">
        <v>46033535.164999999</v>
      </c>
      <c r="W80">
        <v>76</v>
      </c>
      <c r="X80">
        <f>AVERAGE(X81:X82)</f>
        <v>5.5</v>
      </c>
      <c r="Y80">
        <v>18</v>
      </c>
      <c r="Z80">
        <v>6</v>
      </c>
      <c r="AA80">
        <f>AVERAGE(AA79,AA81:AA85)</f>
        <v>0.32666667799154914</v>
      </c>
      <c r="AB80">
        <v>2</v>
      </c>
      <c r="AC80">
        <v>5</v>
      </c>
      <c r="AD80">
        <v>6200</v>
      </c>
      <c r="AE80">
        <v>1</v>
      </c>
      <c r="AF80">
        <v>5</v>
      </c>
      <c r="AG80">
        <v>100</v>
      </c>
      <c r="AH80">
        <v>0</v>
      </c>
      <c r="AI80">
        <v>0</v>
      </c>
      <c r="AJ80">
        <v>666000000</v>
      </c>
      <c r="AK80">
        <v>71000000</v>
      </c>
      <c r="AL80">
        <v>103000000</v>
      </c>
      <c r="AM80">
        <v>185000000</v>
      </c>
      <c r="AN80">
        <v>145500000</v>
      </c>
      <c r="AO80">
        <v>3400000</v>
      </c>
      <c r="AP80">
        <v>646.29999999999995</v>
      </c>
      <c r="AQ80">
        <v>1</v>
      </c>
      <c r="AR80">
        <f t="shared" si="1"/>
        <v>150617.57554468757</v>
      </c>
    </row>
    <row r="81" spans="1:44" x14ac:dyDescent="0.3">
      <c r="A81">
        <v>2008</v>
      </c>
      <c r="B81" t="s">
        <v>49</v>
      </c>
      <c r="C81">
        <v>70273</v>
      </c>
      <c r="D81">
        <v>4.3530001640319798</v>
      </c>
      <c r="E81">
        <v>1.10699999332427</v>
      </c>
      <c r="F81">
        <v>9789</v>
      </c>
      <c r="G81">
        <v>7859</v>
      </c>
      <c r="H81">
        <v>1930</v>
      </c>
      <c r="I81">
        <v>9482</v>
      </c>
      <c r="J81">
        <v>24</v>
      </c>
      <c r="K81">
        <v>1426</v>
      </c>
      <c r="L81">
        <v>61</v>
      </c>
      <c r="M81">
        <v>1365</v>
      </c>
      <c r="N81">
        <v>49.279998779296797</v>
      </c>
      <c r="O81" s="1">
        <v>3052501</v>
      </c>
      <c r="P81">
        <v>0</v>
      </c>
      <c r="Q81">
        <v>1426</v>
      </c>
      <c r="R81">
        <v>4</v>
      </c>
      <c r="S81" s="2">
        <v>767879855.46500003</v>
      </c>
      <c r="T81">
        <v>739663936</v>
      </c>
      <c r="U81" s="2">
        <v>28215898.824999999</v>
      </c>
      <c r="V81" s="2">
        <v>30004516.712000001</v>
      </c>
      <c r="W81">
        <v>68</v>
      </c>
      <c r="X81">
        <v>6</v>
      </c>
      <c r="Y81">
        <v>18</v>
      </c>
      <c r="Z81">
        <v>8</v>
      </c>
      <c r="AA81">
        <v>0.40000000596046398</v>
      </c>
      <c r="AB81">
        <v>2</v>
      </c>
      <c r="AC81">
        <v>5</v>
      </c>
      <c r="AD81">
        <v>6300</v>
      </c>
      <c r="AE81">
        <v>1</v>
      </c>
      <c r="AF81">
        <v>5</v>
      </c>
      <c r="AG81">
        <v>100</v>
      </c>
      <c r="AH81">
        <v>0</v>
      </c>
      <c r="AI81">
        <v>0</v>
      </c>
      <c r="AJ81">
        <v>652200000</v>
      </c>
      <c r="AK81">
        <v>67000000</v>
      </c>
      <c r="AL81">
        <v>103600000</v>
      </c>
      <c r="AM81">
        <v>177000000</v>
      </c>
      <c r="AN81">
        <v>136000000</v>
      </c>
      <c r="AO81">
        <v>3400000</v>
      </c>
      <c r="AP81">
        <v>629.5</v>
      </c>
      <c r="AQ81">
        <v>2</v>
      </c>
      <c r="AR81">
        <f t="shared" si="1"/>
        <v>144612.90518696504</v>
      </c>
    </row>
    <row r="82" spans="1:44" x14ac:dyDescent="0.3">
      <c r="A82">
        <v>2009</v>
      </c>
      <c r="B82" t="s">
        <v>49</v>
      </c>
      <c r="C82">
        <v>70273</v>
      </c>
      <c r="D82">
        <v>4.4120001792907697</v>
      </c>
      <c r="E82">
        <v>1.0880000591278001</v>
      </c>
      <c r="F82">
        <v>9687</v>
      </c>
      <c r="G82">
        <v>7964</v>
      </c>
      <c r="H82">
        <v>1723</v>
      </c>
      <c r="I82">
        <v>9420</v>
      </c>
      <c r="J82">
        <v>24</v>
      </c>
      <c r="K82">
        <v>1236</v>
      </c>
      <c r="L82">
        <v>57</v>
      </c>
      <c r="M82">
        <v>1179</v>
      </c>
      <c r="N82">
        <v>56.8549995422363</v>
      </c>
      <c r="O82" s="1">
        <v>3569726</v>
      </c>
      <c r="P82">
        <v>0</v>
      </c>
      <c r="Q82">
        <v>1236</v>
      </c>
      <c r="R82">
        <v>4</v>
      </c>
      <c r="S82">
        <v>739019712</v>
      </c>
      <c r="T82" s="2">
        <v>733744095.86300004</v>
      </c>
      <c r="U82" s="2">
        <v>5275587.6569999997</v>
      </c>
      <c r="V82" s="2">
        <v>-26708753.745000001</v>
      </c>
      <c r="W82">
        <v>68</v>
      </c>
      <c r="X82">
        <v>5</v>
      </c>
      <c r="Y82">
        <v>20</v>
      </c>
      <c r="Z82">
        <v>7</v>
      </c>
      <c r="AA82">
        <v>0.30000001192092901</v>
      </c>
      <c r="AB82">
        <v>2</v>
      </c>
      <c r="AC82">
        <v>5</v>
      </c>
      <c r="AD82">
        <v>6300</v>
      </c>
      <c r="AE82">
        <v>1</v>
      </c>
      <c r="AF82">
        <v>5</v>
      </c>
      <c r="AG82">
        <v>100</v>
      </c>
      <c r="AH82">
        <v>0</v>
      </c>
      <c r="AI82">
        <v>0</v>
      </c>
      <c r="AJ82">
        <v>646460992</v>
      </c>
      <c r="AK82">
        <v>52477000</v>
      </c>
      <c r="AL82">
        <v>89197000</v>
      </c>
      <c r="AM82">
        <v>131542000</v>
      </c>
      <c r="AN82">
        <v>106600000</v>
      </c>
      <c r="AO82">
        <v>3400000</v>
      </c>
      <c r="AP82">
        <v>581.1</v>
      </c>
      <c r="AQ82">
        <v>2</v>
      </c>
      <c r="AR82">
        <f t="shared" si="1"/>
        <v>131708.9701690384</v>
      </c>
    </row>
    <row r="83" spans="1:44" x14ac:dyDescent="0.3">
      <c r="A83">
        <v>2010</v>
      </c>
      <c r="B83" t="s">
        <v>49</v>
      </c>
      <c r="C83">
        <v>70273</v>
      </c>
      <c r="D83">
        <v>4.4699997901916504</v>
      </c>
      <c r="E83">
        <v>1.15999996662139</v>
      </c>
      <c r="F83">
        <v>9567</v>
      </c>
      <c r="G83">
        <v>7906</v>
      </c>
      <c r="H83">
        <v>1661</v>
      </c>
      <c r="I83">
        <v>9500</v>
      </c>
      <c r="J83">
        <v>24</v>
      </c>
      <c r="K83">
        <v>1164</v>
      </c>
      <c r="L83">
        <v>57</v>
      </c>
      <c r="M83">
        <v>1107</v>
      </c>
      <c r="N83">
        <v>60.372001647949197</v>
      </c>
      <c r="O83">
        <v>3840.1201171875</v>
      </c>
      <c r="P83">
        <v>0</v>
      </c>
      <c r="Q83">
        <v>1164</v>
      </c>
      <c r="R83">
        <v>4</v>
      </c>
      <c r="S83" s="2">
        <v>694272459.16900003</v>
      </c>
      <c r="T83" s="2">
        <v>689238224.99699998</v>
      </c>
      <c r="U83" s="2">
        <v>5034234.1720000003</v>
      </c>
      <c r="V83" s="2">
        <v>-21283824.568999998</v>
      </c>
      <c r="W83">
        <v>68.599998474120994</v>
      </c>
      <c r="X83">
        <f>AVERAGE(X81:X82)</f>
        <v>5.5</v>
      </c>
      <c r="Y83">
        <v>21.299999237060501</v>
      </c>
      <c r="Z83">
        <v>10.1000003814697</v>
      </c>
      <c r="AA83">
        <v>0.30000001192092901</v>
      </c>
      <c r="AB83">
        <v>2</v>
      </c>
      <c r="AC83">
        <v>5</v>
      </c>
      <c r="AD83">
        <v>5900</v>
      </c>
      <c r="AE83">
        <v>1</v>
      </c>
      <c r="AF83">
        <v>5</v>
      </c>
      <c r="AG83">
        <v>100</v>
      </c>
      <c r="AH83">
        <v>0</v>
      </c>
      <c r="AI83">
        <v>0</v>
      </c>
      <c r="AJ83">
        <v>602632000</v>
      </c>
      <c r="AK83">
        <v>39471000</v>
      </c>
      <c r="AL83">
        <v>85077000</v>
      </c>
      <c r="AM83">
        <v>139220992</v>
      </c>
      <c r="AN83">
        <v>111401000</v>
      </c>
      <c r="AO83">
        <v>3400000</v>
      </c>
      <c r="AP83">
        <v>552.4</v>
      </c>
      <c r="AQ83">
        <v>3</v>
      </c>
      <c r="AR83">
        <f t="shared" si="1"/>
        <v>123579.42414496533</v>
      </c>
    </row>
    <row r="84" spans="1:44" x14ac:dyDescent="0.3">
      <c r="A84">
        <v>2012</v>
      </c>
      <c r="B84" t="s">
        <v>49</v>
      </c>
      <c r="C84">
        <v>70273</v>
      </c>
      <c r="D84">
        <v>4.5789999961853001</v>
      </c>
      <c r="E84">
        <v>1.16499996185302</v>
      </c>
      <c r="F84">
        <v>9233</v>
      </c>
      <c r="G84">
        <v>7741</v>
      </c>
      <c r="H84">
        <v>1492</v>
      </c>
      <c r="I84">
        <v>8791</v>
      </c>
      <c r="J84">
        <v>24</v>
      </c>
      <c r="K84">
        <v>1152</v>
      </c>
      <c r="L84">
        <v>57</v>
      </c>
      <c r="M84">
        <v>1095</v>
      </c>
      <c r="N84">
        <v>61.000999450683501</v>
      </c>
      <c r="O84" s="1">
        <v>3975259</v>
      </c>
      <c r="P84">
        <v>0</v>
      </c>
      <c r="Q84">
        <v>1152</v>
      </c>
      <c r="R84">
        <v>4</v>
      </c>
      <c r="S84" s="2">
        <v>692957081.54499996</v>
      </c>
      <c r="T84" s="2">
        <v>707964806.86699998</v>
      </c>
      <c r="U84" s="2">
        <v>-15007725.322000001</v>
      </c>
      <c r="V84">
        <v>-33800000</v>
      </c>
      <c r="W84">
        <v>62.599998474121001</v>
      </c>
      <c r="X84">
        <f>AVERAGE(X81:X82)</f>
        <v>5.5</v>
      </c>
      <c r="Y84">
        <v>20.899999618530199</v>
      </c>
      <c r="Z84">
        <v>16.5</v>
      </c>
      <c r="AA84">
        <v>0.30000001192092901</v>
      </c>
      <c r="AB84">
        <v>2</v>
      </c>
      <c r="AC84">
        <v>5</v>
      </c>
      <c r="AD84">
        <v>5000</v>
      </c>
      <c r="AE84">
        <v>1</v>
      </c>
      <c r="AF84">
        <v>5</v>
      </c>
      <c r="AG84">
        <v>100</v>
      </c>
      <c r="AH84">
        <v>0</v>
      </c>
      <c r="AI84">
        <v>0</v>
      </c>
      <c r="AJ84">
        <v>537777984</v>
      </c>
      <c r="AK84">
        <v>36267000</v>
      </c>
      <c r="AL84">
        <v>74147000</v>
      </c>
      <c r="AM84">
        <v>161052992</v>
      </c>
      <c r="AN84">
        <v>139898000</v>
      </c>
      <c r="AO84">
        <v>3400000</v>
      </c>
      <c r="AP84">
        <v>254</v>
      </c>
      <c r="AQ84">
        <v>3</v>
      </c>
      <c r="AR84">
        <f t="shared" si="1"/>
        <v>55470.626820616686</v>
      </c>
    </row>
    <row r="85" spans="1:44" x14ac:dyDescent="0.3">
      <c r="A85">
        <v>2013</v>
      </c>
      <c r="B85" t="s">
        <v>49</v>
      </c>
      <c r="C85">
        <v>70273</v>
      </c>
      <c r="D85">
        <v>4.6269998550415004</v>
      </c>
      <c r="E85">
        <v>1.11699998378753</v>
      </c>
      <c r="F85">
        <v>8963</v>
      </c>
      <c r="G85">
        <v>7545</v>
      </c>
      <c r="H85">
        <v>1418</v>
      </c>
      <c r="I85">
        <v>8999</v>
      </c>
      <c r="J85">
        <v>24</v>
      </c>
      <c r="K85">
        <v>1147</v>
      </c>
      <c r="L85">
        <v>57</v>
      </c>
      <c r="M85">
        <v>1090</v>
      </c>
      <c r="N85">
        <v>61.266998291015597</v>
      </c>
      <c r="O85" s="1">
        <v>4034153</v>
      </c>
      <c r="P85">
        <v>0</v>
      </c>
      <c r="Q85">
        <v>1147</v>
      </c>
      <c r="R85">
        <v>4</v>
      </c>
      <c r="S85" s="2">
        <v>726672336.61600006</v>
      </c>
      <c r="T85" s="2">
        <v>736934646.37399995</v>
      </c>
      <c r="U85" s="2">
        <v>-10262309.757999999</v>
      </c>
      <c r="V85" s="2">
        <v>5254252.4620000003</v>
      </c>
      <c r="W85">
        <v>62.900001525878899</v>
      </c>
      <c r="X85">
        <f>AVERAGE(X81:X82)</f>
        <v>5.5</v>
      </c>
      <c r="Y85">
        <v>20.899999618530199</v>
      </c>
      <c r="Z85">
        <v>16.2000007629394</v>
      </c>
      <c r="AA85">
        <v>0.30000001192092901</v>
      </c>
      <c r="AB85">
        <v>2</v>
      </c>
      <c r="AC85">
        <v>5</v>
      </c>
      <c r="AD85">
        <v>5800</v>
      </c>
      <c r="AE85">
        <v>1</v>
      </c>
      <c r="AF85">
        <v>5</v>
      </c>
      <c r="AG85">
        <v>100</v>
      </c>
      <c r="AH85">
        <v>0</v>
      </c>
      <c r="AI85">
        <v>0</v>
      </c>
      <c r="AJ85">
        <v>525833984</v>
      </c>
      <c r="AK85">
        <v>37697000</v>
      </c>
      <c r="AL85">
        <v>69264000</v>
      </c>
      <c r="AM85">
        <v>183983008</v>
      </c>
      <c r="AN85">
        <v>163651008</v>
      </c>
      <c r="AO85">
        <v>3400000</v>
      </c>
      <c r="AP85">
        <v>302.2</v>
      </c>
      <c r="AQ85">
        <v>3</v>
      </c>
      <c r="AR85">
        <f t="shared" si="1"/>
        <v>65312.299431072606</v>
      </c>
    </row>
    <row r="86" spans="1:44" x14ac:dyDescent="0.3">
      <c r="A86">
        <v>2004</v>
      </c>
      <c r="B86" t="s">
        <v>50</v>
      </c>
      <c r="C86">
        <v>301318</v>
      </c>
      <c r="D86">
        <v>58.474998474121001</v>
      </c>
      <c r="E86">
        <v>1.1399999856948799</v>
      </c>
      <c r="F86">
        <v>151027</v>
      </c>
      <c r="G86">
        <v>147354</v>
      </c>
      <c r="H86">
        <v>3673</v>
      </c>
      <c r="I86">
        <v>149590</v>
      </c>
      <c r="J86">
        <v>49.700000762939403</v>
      </c>
      <c r="K86">
        <v>13855</v>
      </c>
      <c r="L86">
        <v>13855</v>
      </c>
      <c r="M86">
        <v>0</v>
      </c>
      <c r="N86">
        <v>21.747999191284102</v>
      </c>
      <c r="O86">
        <v>4220.47998046875</v>
      </c>
      <c r="P86">
        <f>AVERAGE(P87:P92)</f>
        <v>24.5</v>
      </c>
      <c r="Q86">
        <v>13855</v>
      </c>
      <c r="R86">
        <v>107</v>
      </c>
      <c r="S86" s="2">
        <v>7758269014.875</v>
      </c>
      <c r="T86">
        <v>7170884096</v>
      </c>
      <c r="U86" s="2">
        <v>587385103.84500003</v>
      </c>
      <c r="V86" s="2">
        <v>203096056.69400001</v>
      </c>
      <c r="W86">
        <v>50.200000762939403</v>
      </c>
      <c r="X86">
        <v>2.9000000953674299</v>
      </c>
      <c r="Y86">
        <v>46.400001525878899</v>
      </c>
      <c r="Z86">
        <v>0.5</v>
      </c>
      <c r="AA86">
        <v>1.1000000238418499</v>
      </c>
      <c r="AB86">
        <v>2</v>
      </c>
      <c r="AC86">
        <v>6</v>
      </c>
      <c r="AD86">
        <v>63710</v>
      </c>
      <c r="AE86">
        <v>1</v>
      </c>
      <c r="AF86">
        <v>6</v>
      </c>
      <c r="AG86">
        <v>99.5</v>
      </c>
      <c r="AH86">
        <v>0.5</v>
      </c>
      <c r="AI86">
        <v>0</v>
      </c>
      <c r="AJ86">
        <v>6574465536</v>
      </c>
      <c r="AK86">
        <v>94110304</v>
      </c>
      <c r="AL86">
        <v>196642384</v>
      </c>
      <c r="AM86">
        <v>1591334144</v>
      </c>
      <c r="AN86">
        <v>601679488</v>
      </c>
      <c r="AO86">
        <v>22138316</v>
      </c>
      <c r="AP86">
        <v>3973</v>
      </c>
      <c r="AQ86">
        <v>3</v>
      </c>
      <c r="AR86">
        <f t="shared" si="1"/>
        <v>67943.567399293068</v>
      </c>
    </row>
    <row r="87" spans="1:44" x14ac:dyDescent="0.3">
      <c r="A87">
        <v>2005</v>
      </c>
      <c r="B87" t="s">
        <v>50</v>
      </c>
      <c r="C87">
        <v>301318</v>
      </c>
      <c r="D87">
        <v>58.645999908447202</v>
      </c>
      <c r="E87">
        <v>1.2120000123977599</v>
      </c>
      <c r="F87">
        <v>147904</v>
      </c>
      <c r="G87">
        <v>142177</v>
      </c>
      <c r="H87">
        <v>5727</v>
      </c>
      <c r="I87">
        <v>145627</v>
      </c>
      <c r="J87">
        <v>51</v>
      </c>
      <c r="K87">
        <v>13831</v>
      </c>
      <c r="L87">
        <v>13831</v>
      </c>
      <c r="M87">
        <v>0</v>
      </c>
      <c r="N87">
        <v>21.7859992980957</v>
      </c>
      <c r="O87" s="1">
        <v>4240211</v>
      </c>
      <c r="P87">
        <v>14</v>
      </c>
      <c r="Q87">
        <v>13845</v>
      </c>
      <c r="R87">
        <v>78</v>
      </c>
      <c r="S87" s="2">
        <v>7607274152.9449997</v>
      </c>
      <c r="T87" s="2">
        <v>6924881350.3360004</v>
      </c>
      <c r="U87" s="2">
        <v>682392802.60899997</v>
      </c>
      <c r="V87" s="2">
        <v>204821922.331</v>
      </c>
      <c r="W87">
        <v>49.099998474121001</v>
      </c>
      <c r="X87">
        <v>3.0999999046325599</v>
      </c>
      <c r="Y87">
        <v>47.099998474121001</v>
      </c>
      <c r="Z87">
        <v>0.69999998807907104</v>
      </c>
      <c r="AA87">
        <v>1.29999995231628</v>
      </c>
      <c r="AB87">
        <v>2</v>
      </c>
      <c r="AC87">
        <v>6</v>
      </c>
      <c r="AD87">
        <v>62000</v>
      </c>
      <c r="AE87">
        <v>1</v>
      </c>
      <c r="AF87">
        <v>6</v>
      </c>
      <c r="AG87">
        <v>99</v>
      </c>
      <c r="AH87">
        <v>1</v>
      </c>
      <c r="AI87">
        <v>0</v>
      </c>
      <c r="AJ87">
        <v>6833399296</v>
      </c>
      <c r="AK87">
        <v>93070088</v>
      </c>
      <c r="AL87">
        <v>184592576</v>
      </c>
      <c r="AM87">
        <v>1815794816</v>
      </c>
      <c r="AN87">
        <v>690813312</v>
      </c>
      <c r="AO87">
        <v>19681196</v>
      </c>
      <c r="AP87">
        <v>4047</v>
      </c>
      <c r="AQ87">
        <v>3</v>
      </c>
      <c r="AR87">
        <f t="shared" si="1"/>
        <v>69007.26403024602</v>
      </c>
    </row>
    <row r="88" spans="1:44" x14ac:dyDescent="0.3">
      <c r="A88">
        <v>2006</v>
      </c>
      <c r="B88" t="s">
        <v>50</v>
      </c>
      <c r="C88">
        <v>301318</v>
      </c>
      <c r="D88">
        <v>58.778999328613203</v>
      </c>
      <c r="E88">
        <v>1.1419999599456701</v>
      </c>
      <c r="F88">
        <v>148734</v>
      </c>
      <c r="G88">
        <v>141708</v>
      </c>
      <c r="H88">
        <v>7026</v>
      </c>
      <c r="I88">
        <v>145963</v>
      </c>
      <c r="J88">
        <v>52</v>
      </c>
      <c r="K88">
        <v>13852</v>
      </c>
      <c r="L88">
        <v>13852</v>
      </c>
      <c r="M88">
        <v>0</v>
      </c>
      <c r="N88">
        <v>21.7530002593994</v>
      </c>
      <c r="O88" s="1">
        <v>4243342</v>
      </c>
      <c r="P88">
        <v>31</v>
      </c>
      <c r="Q88">
        <v>13883</v>
      </c>
      <c r="R88">
        <v>65</v>
      </c>
      <c r="S88" s="2">
        <v>8433964965.9890003</v>
      </c>
      <c r="T88" s="2">
        <v>7388638646.9289999</v>
      </c>
      <c r="U88">
        <v>1045326336</v>
      </c>
      <c r="V88" s="2">
        <v>423127207.62699997</v>
      </c>
      <c r="W88">
        <v>47.5</v>
      </c>
      <c r="X88">
        <v>2.9000000953674299</v>
      </c>
      <c r="Y88">
        <v>49</v>
      </c>
      <c r="Z88">
        <v>0.60000002384185702</v>
      </c>
      <c r="AA88">
        <v>1.3999999761581401</v>
      </c>
      <c r="AB88">
        <v>2</v>
      </c>
      <c r="AC88">
        <v>6</v>
      </c>
      <c r="AD88">
        <v>62000</v>
      </c>
      <c r="AE88">
        <v>1</v>
      </c>
      <c r="AF88">
        <v>6</v>
      </c>
      <c r="AG88">
        <v>99</v>
      </c>
      <c r="AH88">
        <v>1</v>
      </c>
      <c r="AI88">
        <v>0</v>
      </c>
      <c r="AJ88">
        <v>6586417664</v>
      </c>
      <c r="AK88">
        <v>89198984</v>
      </c>
      <c r="AL88">
        <v>195406880</v>
      </c>
      <c r="AM88">
        <v>1869547264</v>
      </c>
      <c r="AN88">
        <v>715072000</v>
      </c>
      <c r="AO88">
        <v>15355783</v>
      </c>
      <c r="AP88">
        <v>4849</v>
      </c>
      <c r="AQ88">
        <v>4</v>
      </c>
      <c r="AR88">
        <f t="shared" si="1"/>
        <v>82495.449997215939</v>
      </c>
    </row>
    <row r="89" spans="1:44" x14ac:dyDescent="0.3">
      <c r="A89">
        <v>2007</v>
      </c>
      <c r="B89" t="s">
        <v>50</v>
      </c>
      <c r="C89">
        <v>301318</v>
      </c>
      <c r="D89">
        <v>59.494998931884702</v>
      </c>
      <c r="E89">
        <v>1.0740000009536701</v>
      </c>
      <c r="F89">
        <v>147210</v>
      </c>
      <c r="G89">
        <v>139427</v>
      </c>
      <c r="H89">
        <v>7783</v>
      </c>
      <c r="I89">
        <v>144129</v>
      </c>
      <c r="J89">
        <v>52</v>
      </c>
      <c r="K89">
        <v>13811</v>
      </c>
      <c r="L89">
        <v>13811</v>
      </c>
      <c r="M89">
        <v>0</v>
      </c>
      <c r="N89">
        <v>21.816999435424801</v>
      </c>
      <c r="O89" s="1">
        <v>4307816</v>
      </c>
      <c r="P89">
        <v>34</v>
      </c>
      <c r="Q89">
        <v>13845</v>
      </c>
      <c r="R89">
        <v>65</v>
      </c>
      <c r="S89">
        <v>9269916672</v>
      </c>
      <c r="T89">
        <v>7795579392</v>
      </c>
      <c r="U89">
        <v>1474336896</v>
      </c>
      <c r="V89" s="2">
        <v>656139925.477</v>
      </c>
      <c r="W89">
        <v>47.799999237060497</v>
      </c>
      <c r="X89">
        <v>2.5</v>
      </c>
      <c r="Y89">
        <v>48.799999237060497</v>
      </c>
      <c r="Z89">
        <v>0.89999997615814198</v>
      </c>
      <c r="AA89">
        <v>1.70000004768371</v>
      </c>
      <c r="AB89">
        <v>2</v>
      </c>
      <c r="AC89">
        <v>6</v>
      </c>
      <c r="AD89">
        <v>61500</v>
      </c>
      <c r="AE89">
        <v>1</v>
      </c>
      <c r="AF89">
        <v>6</v>
      </c>
      <c r="AG89">
        <v>99</v>
      </c>
      <c r="AH89">
        <v>1</v>
      </c>
      <c r="AI89">
        <v>0</v>
      </c>
      <c r="AJ89">
        <v>6270201344</v>
      </c>
      <c r="AK89">
        <v>78009088</v>
      </c>
      <c r="AL89">
        <v>213406400</v>
      </c>
      <c r="AM89">
        <v>1766159872</v>
      </c>
      <c r="AN89">
        <v>611114752</v>
      </c>
      <c r="AO89">
        <v>10109328</v>
      </c>
      <c r="AP89">
        <v>5019</v>
      </c>
      <c r="AQ89">
        <v>4</v>
      </c>
      <c r="AR89">
        <f t="shared" si="1"/>
        <v>84360.031769161113</v>
      </c>
    </row>
    <row r="90" spans="1:44" x14ac:dyDescent="0.3">
      <c r="A90">
        <v>2011</v>
      </c>
      <c r="B90" t="s">
        <v>50</v>
      </c>
      <c r="C90">
        <v>301318</v>
      </c>
      <c r="D90">
        <v>60.7890014648437</v>
      </c>
      <c r="E90">
        <v>1.18700003623962</v>
      </c>
      <c r="F90">
        <v>144451</v>
      </c>
      <c r="G90">
        <v>133426</v>
      </c>
      <c r="H90">
        <v>11025</v>
      </c>
      <c r="I90">
        <v>139652</v>
      </c>
      <c r="J90">
        <v>53.299999237060497</v>
      </c>
      <c r="K90">
        <v>13923</v>
      </c>
      <c r="L90">
        <v>13916</v>
      </c>
      <c r="M90">
        <v>7</v>
      </c>
      <c r="N90">
        <v>21.642000198364201</v>
      </c>
      <c r="O90" s="1">
        <v>4366063</v>
      </c>
      <c r="P90">
        <v>14</v>
      </c>
      <c r="Q90">
        <v>13937</v>
      </c>
      <c r="R90">
        <v>34</v>
      </c>
      <c r="S90" s="2">
        <v>8221386356.3610001</v>
      </c>
      <c r="T90" s="2">
        <v>7040456989.0480003</v>
      </c>
      <c r="U90" s="2">
        <v>1180929367.313</v>
      </c>
      <c r="V90" s="2">
        <v>588490840.77499998</v>
      </c>
      <c r="W90">
        <v>42.299999237060497</v>
      </c>
      <c r="X90">
        <v>1.3999999761581401</v>
      </c>
      <c r="Y90">
        <v>55.400001525878899</v>
      </c>
      <c r="Z90">
        <v>0.89999997615814198</v>
      </c>
      <c r="AA90">
        <v>1.8999999761581401</v>
      </c>
      <c r="AB90">
        <v>1</v>
      </c>
      <c r="AC90">
        <v>5</v>
      </c>
      <c r="AD90">
        <v>58000</v>
      </c>
      <c r="AE90">
        <v>1</v>
      </c>
      <c r="AF90">
        <v>5</v>
      </c>
      <c r="AG90">
        <v>99</v>
      </c>
      <c r="AH90">
        <v>1</v>
      </c>
      <c r="AI90">
        <v>0</v>
      </c>
      <c r="AJ90">
        <v>4934318080</v>
      </c>
      <c r="AK90">
        <v>76870512</v>
      </c>
      <c r="AL90">
        <v>159278704</v>
      </c>
      <c r="AM90">
        <v>1754736256</v>
      </c>
      <c r="AN90">
        <v>616134912</v>
      </c>
      <c r="AO90">
        <v>1428933</v>
      </c>
      <c r="AP90">
        <v>3860</v>
      </c>
      <c r="AQ90">
        <v>4</v>
      </c>
      <c r="AR90">
        <f t="shared" si="1"/>
        <v>63498.328759888689</v>
      </c>
    </row>
    <row r="91" spans="1:44" x14ac:dyDescent="0.3">
      <c r="A91">
        <v>2012</v>
      </c>
      <c r="B91" t="s">
        <v>50</v>
      </c>
      <c r="C91">
        <v>301318</v>
      </c>
      <c r="D91">
        <v>60.964000701904197</v>
      </c>
      <c r="E91">
        <v>1.16499996185302</v>
      </c>
      <c r="F91">
        <v>144122</v>
      </c>
      <c r="G91">
        <v>132191</v>
      </c>
      <c r="H91">
        <v>11931</v>
      </c>
      <c r="I91">
        <v>138896</v>
      </c>
      <c r="J91">
        <v>53.400001525878899</v>
      </c>
      <c r="K91">
        <v>13159</v>
      </c>
      <c r="L91">
        <v>13152</v>
      </c>
      <c r="M91">
        <v>7</v>
      </c>
      <c r="N91">
        <v>22.898000717163001</v>
      </c>
      <c r="O91" s="1">
        <v>4632886</v>
      </c>
      <c r="P91">
        <v>27</v>
      </c>
      <c r="Q91">
        <v>13159</v>
      </c>
      <c r="R91">
        <v>34</v>
      </c>
      <c r="S91" s="2">
        <v>8141864527.0389996</v>
      </c>
      <c r="T91" s="2">
        <v>7325839996.5670004</v>
      </c>
      <c r="U91" s="2">
        <v>816024530.472</v>
      </c>
      <c r="V91" s="2">
        <v>619952843.77699995</v>
      </c>
      <c r="W91">
        <v>38.799999237060497</v>
      </c>
      <c r="X91">
        <v>1.29999995231628</v>
      </c>
      <c r="Y91">
        <v>58.900001525878899</v>
      </c>
      <c r="Z91">
        <v>1</v>
      </c>
      <c r="AA91">
        <v>1.8999999761581401</v>
      </c>
      <c r="AB91">
        <v>1</v>
      </c>
      <c r="AC91">
        <v>5</v>
      </c>
      <c r="AD91">
        <v>53400</v>
      </c>
      <c r="AE91">
        <v>1</v>
      </c>
      <c r="AF91">
        <v>5</v>
      </c>
      <c r="AG91">
        <v>99.989997863769503</v>
      </c>
      <c r="AH91">
        <v>9.9999997764825804E-3</v>
      </c>
      <c r="AI91">
        <v>0</v>
      </c>
      <c r="AJ91">
        <v>4325063168</v>
      </c>
      <c r="AK91">
        <v>69973392</v>
      </c>
      <c r="AL91">
        <v>148563920</v>
      </c>
      <c r="AM91">
        <v>1464998912</v>
      </c>
      <c r="AN91">
        <v>534669920</v>
      </c>
      <c r="AO91">
        <v>870357</v>
      </c>
      <c r="AP91">
        <v>2589.1</v>
      </c>
      <c r="AQ91">
        <v>0</v>
      </c>
      <c r="AR91">
        <f t="shared" si="1"/>
        <v>42469.325670733582</v>
      </c>
    </row>
    <row r="92" spans="1:44" x14ac:dyDescent="0.3">
      <c r="A92">
        <v>2013</v>
      </c>
      <c r="B92" t="s">
        <v>50</v>
      </c>
      <c r="C92">
        <v>301318</v>
      </c>
      <c r="D92">
        <v>60.990001678466697</v>
      </c>
      <c r="E92">
        <v>1.11699998378753</v>
      </c>
      <c r="F92">
        <v>143422</v>
      </c>
      <c r="G92">
        <v>131068</v>
      </c>
      <c r="H92">
        <v>12354</v>
      </c>
      <c r="I92">
        <v>137983</v>
      </c>
      <c r="J92">
        <v>53.400001525878899</v>
      </c>
      <c r="K92">
        <v>13019</v>
      </c>
      <c r="L92">
        <v>13012</v>
      </c>
      <c r="M92">
        <v>7</v>
      </c>
      <c r="N92">
        <v>23.143999099731399</v>
      </c>
      <c r="O92" s="1">
        <v>4684713</v>
      </c>
      <c r="P92">
        <v>27</v>
      </c>
      <c r="Q92">
        <v>13019</v>
      </c>
      <c r="R92">
        <v>24</v>
      </c>
      <c r="S92">
        <v>8444748288</v>
      </c>
      <c r="T92" s="2">
        <v>7623495898.8360004</v>
      </c>
      <c r="U92" s="2">
        <v>821252295.43400002</v>
      </c>
      <c r="V92" s="2">
        <v>633919551.477</v>
      </c>
      <c r="W92">
        <v>37.299999237060497</v>
      </c>
      <c r="X92">
        <v>1.29999995231628</v>
      </c>
      <c r="Y92">
        <v>60.200000762939403</v>
      </c>
      <c r="Z92">
        <v>1.20000004768371</v>
      </c>
      <c r="AA92">
        <v>1.3999999761581401</v>
      </c>
      <c r="AB92">
        <v>1</v>
      </c>
      <c r="AC92">
        <v>5</v>
      </c>
      <c r="AD92">
        <v>52000</v>
      </c>
      <c r="AE92">
        <v>1</v>
      </c>
      <c r="AF92">
        <v>5</v>
      </c>
      <c r="AG92">
        <v>99.919998168945298</v>
      </c>
      <c r="AH92">
        <v>7.9999998211860698E-2</v>
      </c>
      <c r="AI92">
        <v>0</v>
      </c>
      <c r="AJ92">
        <v>3923318528</v>
      </c>
      <c r="AK92">
        <v>78506248</v>
      </c>
      <c r="AL92">
        <v>136609888</v>
      </c>
      <c r="AM92">
        <v>1312288128</v>
      </c>
      <c r="AN92">
        <v>500043488</v>
      </c>
      <c r="AO92">
        <v>957389</v>
      </c>
      <c r="AP92">
        <v>2589.1</v>
      </c>
      <c r="AQ92">
        <v>0</v>
      </c>
      <c r="AR92">
        <f t="shared" si="1"/>
        <v>42451.220343450412</v>
      </c>
    </row>
    <row r="93" spans="1:44" x14ac:dyDescent="0.3">
      <c r="A93">
        <v>2006</v>
      </c>
      <c r="B93" t="s">
        <v>51</v>
      </c>
      <c r="C93">
        <v>64600</v>
      </c>
      <c r="D93">
        <v>2.2890000343322701</v>
      </c>
      <c r="E93">
        <v>0.80599999427795399</v>
      </c>
      <c r="F93">
        <v>7884</v>
      </c>
      <c r="G93">
        <v>7644</v>
      </c>
      <c r="H93">
        <v>240</v>
      </c>
      <c r="I93">
        <f>AVERAGE(I96:I100)</f>
        <v>3618.2</v>
      </c>
      <c r="J93">
        <f>AVERAGE(J95:J100)</f>
        <v>74.749999999999986</v>
      </c>
      <c r="K93">
        <v>984</v>
      </c>
      <c r="L93">
        <v>984</v>
      </c>
      <c r="M93">
        <v>0</v>
      </c>
      <c r="N93">
        <v>65.650001525878906</v>
      </c>
      <c r="O93" s="1">
        <v>2326316</v>
      </c>
      <c r="P93">
        <f>AVERAGE(P94:P99)</f>
        <v>30.833333333333332</v>
      </c>
      <c r="Q93">
        <f>AVERAGE(Q96:Q99)</f>
        <v>586</v>
      </c>
      <c r="R93">
        <v>1</v>
      </c>
      <c r="S93" s="2">
        <v>54545976.427000001</v>
      </c>
      <c r="T93" s="2">
        <v>55469274.193999998</v>
      </c>
      <c r="U93" s="2">
        <v>-923297.76699999999</v>
      </c>
      <c r="V93" s="2">
        <v>-967075.68200000003</v>
      </c>
      <c r="W93">
        <v>49.5</v>
      </c>
      <c r="X93">
        <v>4.9000000953674299</v>
      </c>
      <c r="Y93">
        <v>17.299999237060501</v>
      </c>
      <c r="Z93">
        <v>28.299999237060501</v>
      </c>
      <c r="AA93">
        <v>1.1000000238418499</v>
      </c>
      <c r="AB93">
        <v>1</v>
      </c>
      <c r="AC93">
        <v>6</v>
      </c>
      <c r="AD93">
        <v>2042</v>
      </c>
      <c r="AE93">
        <v>2</v>
      </c>
      <c r="AF93">
        <v>5</v>
      </c>
      <c r="AG93">
        <v>85</v>
      </c>
      <c r="AH93">
        <v>10</v>
      </c>
      <c r="AI93">
        <v>5</v>
      </c>
      <c r="AJ93">
        <v>54793920</v>
      </c>
      <c r="AK93">
        <v>3671575</v>
      </c>
      <c r="AL93">
        <v>4507867</v>
      </c>
      <c r="AM93">
        <v>66036140</v>
      </c>
      <c r="AN93">
        <v>61265328</v>
      </c>
      <c r="AO93">
        <v>47925</v>
      </c>
      <c r="AP93">
        <v>31.2</v>
      </c>
      <c r="AQ93">
        <v>1</v>
      </c>
      <c r="AR93">
        <f t="shared" si="1"/>
        <v>13630.406086516914</v>
      </c>
    </row>
    <row r="94" spans="1:44" x14ac:dyDescent="0.3">
      <c r="A94">
        <v>2007</v>
      </c>
      <c r="B94" t="s">
        <v>51</v>
      </c>
      <c r="C94">
        <v>64600</v>
      </c>
      <c r="D94">
        <v>2.28200006484985</v>
      </c>
      <c r="E94">
        <v>0.76800000667571999</v>
      </c>
      <c r="F94">
        <v>8387</v>
      </c>
      <c r="G94">
        <v>5129</v>
      </c>
      <c r="H94">
        <v>3258</v>
      </c>
      <c r="I94">
        <f>AVERAGE(I96:I100)</f>
        <v>3618.2</v>
      </c>
      <c r="J94">
        <f>AVERAGE(J95:J100)</f>
        <v>74.749999999999986</v>
      </c>
      <c r="K94">
        <v>805</v>
      </c>
      <c r="L94">
        <v>805</v>
      </c>
      <c r="M94">
        <v>0</v>
      </c>
      <c r="N94">
        <v>80.248001098632798</v>
      </c>
      <c r="O94" s="1">
        <v>2834401</v>
      </c>
      <c r="P94">
        <v>0</v>
      </c>
      <c r="Q94">
        <f>AVERAGE(Q96:Q99)</f>
        <v>586</v>
      </c>
      <c r="R94">
        <f>AVERAGE(R93,R97:R100)</f>
        <v>2.6</v>
      </c>
      <c r="S94" s="2">
        <v>58674726.505999997</v>
      </c>
      <c r="T94" s="2">
        <v>75095092.728</v>
      </c>
      <c r="U94" s="2">
        <v>-16420366.221999999</v>
      </c>
      <c r="V94" s="2">
        <v>-16547410.919</v>
      </c>
      <c r="W94">
        <v>45.799999237060497</v>
      </c>
      <c r="X94">
        <v>8.1999998092651296</v>
      </c>
      <c r="Y94">
        <v>18.799999237060501</v>
      </c>
      <c r="Z94">
        <v>27.2000007629394</v>
      </c>
      <c r="AA94">
        <v>0.5</v>
      </c>
      <c r="AB94">
        <v>1</v>
      </c>
      <c r="AC94">
        <v>6</v>
      </c>
      <c r="AD94">
        <v>2100</v>
      </c>
      <c r="AE94">
        <v>1</v>
      </c>
      <c r="AF94">
        <v>6</v>
      </c>
      <c r="AG94">
        <v>100</v>
      </c>
      <c r="AH94">
        <v>0</v>
      </c>
      <c r="AI94">
        <v>0</v>
      </c>
      <c r="AJ94">
        <v>55427272</v>
      </c>
      <c r="AK94">
        <v>3535431</v>
      </c>
      <c r="AL94">
        <v>4259753</v>
      </c>
      <c r="AM94">
        <v>58047664</v>
      </c>
      <c r="AN94">
        <v>51696692</v>
      </c>
      <c r="AO94">
        <v>49614</v>
      </c>
      <c r="AP94">
        <v>29.9</v>
      </c>
      <c r="AQ94">
        <v>2</v>
      </c>
      <c r="AR94">
        <f t="shared" si="1"/>
        <v>13102.541257801124</v>
      </c>
    </row>
    <row r="95" spans="1:44" x14ac:dyDescent="0.3">
      <c r="A95">
        <v>2008</v>
      </c>
      <c r="B95" t="s">
        <v>51</v>
      </c>
      <c r="C95">
        <v>64600</v>
      </c>
      <c r="D95">
        <v>2.2709999084472599</v>
      </c>
      <c r="E95">
        <v>0.76200002431869496</v>
      </c>
      <c r="F95">
        <v>6215</v>
      </c>
      <c r="G95">
        <v>4404</v>
      </c>
      <c r="H95">
        <v>1811</v>
      </c>
      <c r="I95">
        <f>AVERAGE(I96:I100)</f>
        <v>3618.2</v>
      </c>
      <c r="J95">
        <v>90.599998474120994</v>
      </c>
      <c r="K95">
        <v>702</v>
      </c>
      <c r="L95">
        <v>702</v>
      </c>
      <c r="M95">
        <v>0</v>
      </c>
      <c r="N95">
        <v>92.023002624511705</v>
      </c>
      <c r="O95" s="1">
        <v>3235325</v>
      </c>
      <c r="P95">
        <v>0</v>
      </c>
      <c r="Q95">
        <f>AVERAGE(Q96:Q99)</f>
        <v>586</v>
      </c>
      <c r="R95">
        <f>AVERAGE(R93,R97:R100)</f>
        <v>2.6</v>
      </c>
      <c r="S95" s="2">
        <v>68407339.894999996</v>
      </c>
      <c r="T95" s="2">
        <v>72902005.248999998</v>
      </c>
      <c r="U95" s="2">
        <v>-4494665.3540000003</v>
      </c>
      <c r="V95" s="2">
        <v>-4619716.5350000001</v>
      </c>
      <c r="W95">
        <v>45.700000762939403</v>
      </c>
      <c r="X95">
        <v>10.800000190734799</v>
      </c>
      <c r="Y95">
        <v>23.2000007629394</v>
      </c>
      <c r="Z95">
        <v>20.299999237060501</v>
      </c>
      <c r="AA95">
        <v>0.5</v>
      </c>
      <c r="AB95">
        <v>1</v>
      </c>
      <c r="AC95">
        <v>6</v>
      </c>
      <c r="AD95">
        <v>1800</v>
      </c>
      <c r="AE95">
        <v>1</v>
      </c>
      <c r="AF95">
        <v>6</v>
      </c>
      <c r="AG95">
        <v>100</v>
      </c>
      <c r="AH95">
        <v>0</v>
      </c>
      <c r="AI95">
        <v>0</v>
      </c>
      <c r="AJ95">
        <v>51685844</v>
      </c>
      <c r="AK95">
        <v>2489303</v>
      </c>
      <c r="AL95">
        <v>4424929</v>
      </c>
      <c r="AM95">
        <v>29061550</v>
      </c>
      <c r="AN95">
        <v>19925800</v>
      </c>
      <c r="AO95">
        <v>47760</v>
      </c>
      <c r="AP95">
        <v>38.299999999999997</v>
      </c>
      <c r="AQ95">
        <v>2</v>
      </c>
      <c r="AR95">
        <f t="shared" si="1"/>
        <v>16864.81794100409</v>
      </c>
    </row>
    <row r="96" spans="1:44" x14ac:dyDescent="0.3">
      <c r="A96">
        <v>2011</v>
      </c>
      <c r="B96" t="s">
        <v>51</v>
      </c>
      <c r="C96">
        <v>64600</v>
      </c>
      <c r="D96">
        <v>2.2430000305175701</v>
      </c>
      <c r="E96">
        <v>0.83499997854232699</v>
      </c>
      <c r="F96">
        <v>4493</v>
      </c>
      <c r="G96">
        <v>2438</v>
      </c>
      <c r="H96">
        <v>2055</v>
      </c>
      <c r="I96">
        <v>4016</v>
      </c>
      <c r="J96">
        <v>81</v>
      </c>
      <c r="K96">
        <v>571</v>
      </c>
      <c r="L96">
        <v>559</v>
      </c>
      <c r="M96">
        <v>12</v>
      </c>
      <c r="N96">
        <v>113.13500213623</v>
      </c>
      <c r="O96" s="1">
        <v>3928445</v>
      </c>
      <c r="P96">
        <v>53</v>
      </c>
      <c r="Q96">
        <v>559</v>
      </c>
      <c r="R96">
        <f>AVERAGE(R93,R97:R100)</f>
        <v>2.6</v>
      </c>
      <c r="S96" s="2">
        <v>45700688.623000003</v>
      </c>
      <c r="T96" s="2">
        <v>44474426.347000003</v>
      </c>
      <c r="U96" s="2">
        <v>1226262.2760000001</v>
      </c>
      <c r="V96" s="2">
        <v>1134613.1740000001</v>
      </c>
      <c r="W96">
        <v>43.319999694824197</v>
      </c>
      <c r="X96">
        <v>10.9600000381469</v>
      </c>
      <c r="Y96">
        <v>9.9899997711181605</v>
      </c>
      <c r="Z96">
        <v>35.7299995422363</v>
      </c>
      <c r="AA96">
        <v>2.9999999329447701E-2</v>
      </c>
      <c r="AB96">
        <v>2</v>
      </c>
      <c r="AC96">
        <v>6</v>
      </c>
      <c r="AD96">
        <f>AVERAGE(AD93:AD95,AD97:AD100)</f>
        <v>1447.1428571428571</v>
      </c>
      <c r="AE96">
        <v>1</v>
      </c>
      <c r="AF96">
        <v>6</v>
      </c>
      <c r="AG96">
        <v>100</v>
      </c>
      <c r="AH96">
        <v>0</v>
      </c>
      <c r="AI96">
        <v>0</v>
      </c>
      <c r="AJ96">
        <v>28886614</v>
      </c>
      <c r="AK96">
        <v>2890911</v>
      </c>
      <c r="AL96">
        <v>5406608</v>
      </c>
      <c r="AM96">
        <v>102850280</v>
      </c>
      <c r="AN96">
        <v>99287200</v>
      </c>
      <c r="AO96">
        <v>108636</v>
      </c>
      <c r="AP96">
        <v>31.9</v>
      </c>
      <c r="AQ96">
        <v>3</v>
      </c>
      <c r="AR96">
        <f t="shared" si="1"/>
        <v>14222.023881399193</v>
      </c>
    </row>
    <row r="97" spans="1:44" x14ac:dyDescent="0.3">
      <c r="A97">
        <v>2012</v>
      </c>
      <c r="B97" t="s">
        <v>51</v>
      </c>
      <c r="C97">
        <v>64600</v>
      </c>
      <c r="D97">
        <v>2.2349998950958199</v>
      </c>
      <c r="E97">
        <v>0.81599998474121005</v>
      </c>
      <c r="F97">
        <v>4215</v>
      </c>
      <c r="G97">
        <v>2041</v>
      </c>
      <c r="H97">
        <v>2174</v>
      </c>
      <c r="I97">
        <v>3618</v>
      </c>
      <c r="J97">
        <v>82</v>
      </c>
      <c r="K97">
        <v>557</v>
      </c>
      <c r="L97">
        <v>549</v>
      </c>
      <c r="M97">
        <v>8</v>
      </c>
      <c r="N97">
        <v>115.97799682617099</v>
      </c>
      <c r="O97" s="1">
        <v>4011799</v>
      </c>
      <c r="P97">
        <v>61</v>
      </c>
      <c r="Q97">
        <v>549</v>
      </c>
      <c r="R97">
        <v>1</v>
      </c>
      <c r="S97" s="2">
        <v>47689178.921999998</v>
      </c>
      <c r="T97" s="2">
        <v>42486395.832999997</v>
      </c>
      <c r="U97" s="2">
        <v>5202783.0889999997</v>
      </c>
      <c r="V97" s="2">
        <v>4326068.6270000003</v>
      </c>
      <c r="W97">
        <v>42</v>
      </c>
      <c r="X97">
        <v>15</v>
      </c>
      <c r="Y97">
        <v>10</v>
      </c>
      <c r="Z97">
        <v>33</v>
      </c>
      <c r="AA97">
        <v>1.5</v>
      </c>
      <c r="AB97">
        <v>1</v>
      </c>
      <c r="AC97">
        <v>5</v>
      </c>
      <c r="AD97">
        <v>1033</v>
      </c>
      <c r="AE97">
        <v>1</v>
      </c>
      <c r="AF97">
        <v>5</v>
      </c>
      <c r="AG97">
        <v>100</v>
      </c>
      <c r="AH97">
        <v>0</v>
      </c>
      <c r="AI97">
        <v>0</v>
      </c>
      <c r="AJ97">
        <v>27400036</v>
      </c>
      <c r="AK97">
        <v>2629445</v>
      </c>
      <c r="AL97">
        <v>4471958</v>
      </c>
      <c r="AM97">
        <v>90294032</v>
      </c>
      <c r="AN97">
        <v>87511528</v>
      </c>
      <c r="AO97">
        <v>47616</v>
      </c>
      <c r="AP97">
        <v>41.88</v>
      </c>
      <c r="AQ97">
        <v>3</v>
      </c>
      <c r="AR97">
        <f t="shared" si="1"/>
        <v>18738.255913074441</v>
      </c>
    </row>
    <row r="98" spans="1:44" x14ac:dyDescent="0.3">
      <c r="A98">
        <v>2013</v>
      </c>
      <c r="B98" t="s">
        <v>51</v>
      </c>
      <c r="C98">
        <v>64600</v>
      </c>
      <c r="D98">
        <v>2.0499999523162802</v>
      </c>
      <c r="E98">
        <v>1.11699998378753</v>
      </c>
      <c r="F98">
        <v>4095</v>
      </c>
      <c r="G98">
        <v>2035</v>
      </c>
      <c r="H98">
        <v>2060</v>
      </c>
      <c r="I98">
        <v>3478</v>
      </c>
      <c r="J98">
        <v>81</v>
      </c>
      <c r="K98">
        <v>547</v>
      </c>
      <c r="L98">
        <v>540</v>
      </c>
      <c r="M98">
        <v>7</v>
      </c>
      <c r="N98">
        <v>118.098999023437</v>
      </c>
      <c r="O98" s="1">
        <v>3748294</v>
      </c>
      <c r="P98">
        <v>71</v>
      </c>
      <c r="Q98">
        <v>611</v>
      </c>
      <c r="R98">
        <v>9</v>
      </c>
      <c r="S98" s="2">
        <v>37182024.171999998</v>
      </c>
      <c r="T98" s="2">
        <v>34262162.041000001</v>
      </c>
      <c r="U98" s="2">
        <v>2919862.1310000001</v>
      </c>
      <c r="V98" s="2">
        <v>2854561.3250000002</v>
      </c>
      <c r="W98">
        <v>43.599998474121001</v>
      </c>
      <c r="X98">
        <v>13.1000003814697</v>
      </c>
      <c r="Y98">
        <v>4.0999999046325604</v>
      </c>
      <c r="Z98">
        <v>39.200000762939403</v>
      </c>
      <c r="AA98">
        <v>1.29999995231628</v>
      </c>
      <c r="AB98">
        <v>1</v>
      </c>
      <c r="AC98">
        <v>5</v>
      </c>
      <c r="AD98">
        <v>1024</v>
      </c>
      <c r="AE98">
        <v>2</v>
      </c>
      <c r="AF98">
        <v>5</v>
      </c>
      <c r="AG98">
        <v>100</v>
      </c>
      <c r="AH98">
        <v>0</v>
      </c>
      <c r="AI98">
        <v>0</v>
      </c>
      <c r="AJ98">
        <v>26525044</v>
      </c>
      <c r="AK98">
        <v>2825776</v>
      </c>
      <c r="AL98">
        <v>4752391</v>
      </c>
      <c r="AM98">
        <v>47628940</v>
      </c>
      <c r="AN98">
        <v>44405168</v>
      </c>
      <c r="AO98">
        <v>90840</v>
      </c>
      <c r="AP98">
        <v>32.94</v>
      </c>
      <c r="AQ98">
        <v>3</v>
      </c>
      <c r="AR98">
        <f t="shared" si="1"/>
        <v>16068.293056680968</v>
      </c>
    </row>
    <row r="99" spans="1:44" x14ac:dyDescent="0.3">
      <c r="A99">
        <v>2014</v>
      </c>
      <c r="B99" t="s">
        <v>51</v>
      </c>
      <c r="C99">
        <v>64600</v>
      </c>
      <c r="D99">
        <v>2.0399999618530198</v>
      </c>
      <c r="E99">
        <v>1.192999958992</v>
      </c>
      <c r="F99">
        <v>4171</v>
      </c>
      <c r="G99">
        <v>2075</v>
      </c>
      <c r="H99">
        <v>2096</v>
      </c>
      <c r="I99">
        <v>3623</v>
      </c>
      <c r="J99">
        <v>80.900001525878906</v>
      </c>
      <c r="K99">
        <v>801</v>
      </c>
      <c r="L99">
        <v>625</v>
      </c>
      <c r="M99">
        <v>176</v>
      </c>
      <c r="N99">
        <v>80.649002075195298</v>
      </c>
      <c r="O99" s="1">
        <v>2546964</v>
      </c>
      <c r="P99">
        <v>0</v>
      </c>
      <c r="Q99">
        <v>625</v>
      </c>
      <c r="R99">
        <v>1</v>
      </c>
      <c r="S99" s="2">
        <v>51491917.854000002</v>
      </c>
      <c r="T99">
        <v>47691940</v>
      </c>
      <c r="U99" s="2">
        <v>3799979.0440000002</v>
      </c>
      <c r="V99" s="2">
        <v>1437024.308</v>
      </c>
      <c r="W99">
        <v>45.5</v>
      </c>
      <c r="X99">
        <v>13.1000003814697</v>
      </c>
      <c r="Y99">
        <v>9</v>
      </c>
      <c r="Z99">
        <v>32.400001525878899</v>
      </c>
      <c r="AA99">
        <v>1.79999995231628</v>
      </c>
      <c r="AB99">
        <v>1</v>
      </c>
      <c r="AC99">
        <v>5</v>
      </c>
      <c r="AD99">
        <v>1065</v>
      </c>
      <c r="AE99">
        <v>1.5</v>
      </c>
      <c r="AF99">
        <v>5</v>
      </c>
      <c r="AG99">
        <v>100</v>
      </c>
      <c r="AH99">
        <v>0</v>
      </c>
      <c r="AI99">
        <v>0</v>
      </c>
      <c r="AJ99">
        <v>29881192</v>
      </c>
      <c r="AK99">
        <v>3048545</v>
      </c>
      <c r="AL99">
        <v>6176536</v>
      </c>
      <c r="AM99">
        <v>40147208</v>
      </c>
      <c r="AN99">
        <v>36380264</v>
      </c>
      <c r="AO99">
        <v>85925</v>
      </c>
      <c r="AP99">
        <v>25.6</v>
      </c>
      <c r="AQ99">
        <v>3</v>
      </c>
      <c r="AR99">
        <f t="shared" si="1"/>
        <v>12549.019842503536</v>
      </c>
    </row>
    <row r="100" spans="1:44" x14ac:dyDescent="0.3">
      <c r="A100">
        <v>2016</v>
      </c>
      <c r="B100" t="s">
        <v>51</v>
      </c>
      <c r="C100">
        <v>64600</v>
      </c>
      <c r="D100">
        <v>1.9709999561309799</v>
      </c>
      <c r="E100">
        <v>1.2799999713897701</v>
      </c>
      <c r="F100">
        <v>3882</v>
      </c>
      <c r="G100">
        <v>1960</v>
      </c>
      <c r="H100">
        <v>1922</v>
      </c>
      <c r="I100">
        <v>3356</v>
      </c>
      <c r="J100">
        <v>33</v>
      </c>
      <c r="K100">
        <v>1019</v>
      </c>
      <c r="L100">
        <v>480</v>
      </c>
      <c r="M100">
        <v>539</v>
      </c>
      <c r="N100">
        <v>63.395000457763601</v>
      </c>
      <c r="O100" s="1">
        <v>1933788</v>
      </c>
      <c r="P100">
        <f>AVERAGE(P94:P99)</f>
        <v>30.833333333333332</v>
      </c>
      <c r="Q100">
        <v>480</v>
      </c>
      <c r="R100">
        <v>1</v>
      </c>
      <c r="S100">
        <v>49753100</v>
      </c>
      <c r="T100" s="2">
        <v>47394540.625</v>
      </c>
      <c r="U100" s="2">
        <v>2358559.375</v>
      </c>
      <c r="V100" s="2">
        <v>2831232.8130000001</v>
      </c>
      <c r="W100">
        <v>48.5</v>
      </c>
      <c r="X100">
        <v>14.199999809265099</v>
      </c>
      <c r="Y100">
        <v>8.3999996185302699</v>
      </c>
      <c r="Z100">
        <v>28.899999618530199</v>
      </c>
      <c r="AA100">
        <v>3.9999999105930301E-2</v>
      </c>
      <c r="AB100">
        <v>1</v>
      </c>
      <c r="AC100">
        <v>5</v>
      </c>
      <c r="AD100">
        <v>1066</v>
      </c>
      <c r="AE100">
        <v>1</v>
      </c>
      <c r="AF100">
        <v>5</v>
      </c>
      <c r="AG100">
        <v>95</v>
      </c>
      <c r="AH100">
        <v>5</v>
      </c>
      <c r="AI100">
        <v>0</v>
      </c>
      <c r="AJ100">
        <v>25201668</v>
      </c>
      <c r="AK100">
        <v>3556605</v>
      </c>
      <c r="AL100">
        <v>10018589</v>
      </c>
      <c r="AM100">
        <v>23752708</v>
      </c>
      <c r="AN100">
        <v>19954654</v>
      </c>
      <c r="AO100">
        <v>66149</v>
      </c>
      <c r="AP100">
        <v>29.58</v>
      </c>
      <c r="AQ100">
        <v>4</v>
      </c>
      <c r="AR100">
        <f t="shared" si="1"/>
        <v>15007.610684104096</v>
      </c>
    </row>
    <row r="101" spans="1:44" x14ac:dyDescent="0.3">
      <c r="A101">
        <v>2004</v>
      </c>
      <c r="B101" t="s">
        <v>52</v>
      </c>
      <c r="C101">
        <v>65300</v>
      </c>
      <c r="D101">
        <v>3.4400000572204501</v>
      </c>
      <c r="E101">
        <v>3.9360001087188698</v>
      </c>
      <c r="F101">
        <v>8029</v>
      </c>
      <c r="G101">
        <v>3668</v>
      </c>
      <c r="H101">
        <v>4361</v>
      </c>
      <c r="I101">
        <v>6641</v>
      </c>
      <c r="J101">
        <v>81.800003051757798</v>
      </c>
      <c r="K101">
        <v>955</v>
      </c>
      <c r="L101">
        <v>945</v>
      </c>
      <c r="M101">
        <v>10</v>
      </c>
      <c r="N101">
        <v>68.376998901367102</v>
      </c>
      <c r="O101" s="1">
        <v>3602261</v>
      </c>
      <c r="P101">
        <v>6</v>
      </c>
      <c r="Q101">
        <v>961</v>
      </c>
      <c r="R101">
        <v>1</v>
      </c>
      <c r="S101" s="2">
        <v>40680691.056999996</v>
      </c>
      <c r="T101" s="2">
        <v>39835772.358000003</v>
      </c>
      <c r="U101" s="2">
        <v>844918.69900000002</v>
      </c>
      <c r="V101" s="2">
        <v>567073.17099999997</v>
      </c>
      <c r="W101">
        <v>35.099998474121001</v>
      </c>
      <c r="X101">
        <v>3</v>
      </c>
      <c r="Y101">
        <v>22.299999237060501</v>
      </c>
      <c r="Z101">
        <v>39.599998474121001</v>
      </c>
      <c r="AA101">
        <v>0.80000001192092796</v>
      </c>
      <c r="AB101">
        <v>1</v>
      </c>
      <c r="AC101">
        <v>5</v>
      </c>
      <c r="AD101">
        <v>4282</v>
      </c>
      <c r="AE101">
        <v>1.1000000238418499</v>
      </c>
      <c r="AF101">
        <v>5</v>
      </c>
      <c r="AG101">
        <v>99.919998168945298</v>
      </c>
      <c r="AH101">
        <v>7.9999998211860698E-2</v>
      </c>
      <c r="AI101">
        <v>0</v>
      </c>
      <c r="AJ101">
        <v>42952392</v>
      </c>
      <c r="AK101">
        <v>5181690</v>
      </c>
      <c r="AL101">
        <v>5668060</v>
      </c>
      <c r="AM101">
        <v>75566304</v>
      </c>
      <c r="AN101">
        <v>75566304</v>
      </c>
      <c r="AO101">
        <v>120040</v>
      </c>
      <c r="AP101">
        <v>19.399999999999999</v>
      </c>
      <c r="AQ101">
        <v>4</v>
      </c>
      <c r="AR101">
        <f t="shared" si="1"/>
        <v>5639.5347899137441</v>
      </c>
    </row>
    <row r="102" spans="1:44" x14ac:dyDescent="0.3">
      <c r="A102">
        <v>2005</v>
      </c>
      <c r="B102" t="s">
        <v>52</v>
      </c>
      <c r="C102">
        <v>65300</v>
      </c>
      <c r="D102">
        <v>3.4249999523162802</v>
      </c>
      <c r="E102">
        <v>4.1589999198913503</v>
      </c>
      <c r="F102">
        <v>8136</v>
      </c>
      <c r="G102">
        <v>3825</v>
      </c>
      <c r="H102">
        <v>4311</v>
      </c>
      <c r="I102">
        <v>6755</v>
      </c>
      <c r="J102">
        <v>81.300003051757798</v>
      </c>
      <c r="K102">
        <v>949</v>
      </c>
      <c r="L102">
        <v>940</v>
      </c>
      <c r="M102">
        <v>9</v>
      </c>
      <c r="N102">
        <v>68.808998107910099</v>
      </c>
      <c r="O102" s="1">
        <v>3609143</v>
      </c>
      <c r="P102">
        <v>6</v>
      </c>
      <c r="Q102">
        <v>955</v>
      </c>
      <c r="R102">
        <v>1</v>
      </c>
      <c r="S102" s="2">
        <v>40430848.762000002</v>
      </c>
      <c r="T102" s="2">
        <v>40232291.416000001</v>
      </c>
      <c r="U102" s="2">
        <v>198557.34599999999</v>
      </c>
      <c r="V102" s="2">
        <v>48088.483</v>
      </c>
      <c r="W102">
        <v>37.599998474121001</v>
      </c>
      <c r="X102">
        <v>3.9000000953674299</v>
      </c>
      <c r="Y102">
        <v>23.600000381469702</v>
      </c>
      <c r="Z102">
        <v>34.900001525878899</v>
      </c>
      <c r="AA102">
        <f>AVERAGE(AA101,AA103:AA114)</f>
        <v>0.29230769379780824</v>
      </c>
      <c r="AB102">
        <v>1</v>
      </c>
      <c r="AC102">
        <v>5</v>
      </c>
      <c r="AD102">
        <v>4141</v>
      </c>
      <c r="AE102">
        <v>1.5</v>
      </c>
      <c r="AF102">
        <v>5</v>
      </c>
      <c r="AG102">
        <v>99.919998168945298</v>
      </c>
      <c r="AH102">
        <v>7.9999998211860698E-2</v>
      </c>
      <c r="AI102">
        <v>0</v>
      </c>
      <c r="AJ102">
        <v>42890900</v>
      </c>
      <c r="AK102">
        <v>4988100</v>
      </c>
      <c r="AL102">
        <v>5896900</v>
      </c>
      <c r="AM102">
        <v>110898096</v>
      </c>
      <c r="AN102">
        <v>110898096</v>
      </c>
      <c r="AO102">
        <v>157800</v>
      </c>
      <c r="AP102">
        <v>22.5</v>
      </c>
      <c r="AQ102">
        <v>4</v>
      </c>
      <c r="AR102">
        <f t="shared" si="1"/>
        <v>6569.3431571534948</v>
      </c>
    </row>
    <row r="103" spans="1:44" x14ac:dyDescent="0.3">
      <c r="A103">
        <v>2006</v>
      </c>
      <c r="B103" t="s">
        <v>52</v>
      </c>
      <c r="C103">
        <v>65300</v>
      </c>
      <c r="D103">
        <v>3.4079999923706001</v>
      </c>
      <c r="E103">
        <v>3.9570000171661301</v>
      </c>
      <c r="F103">
        <v>8071</v>
      </c>
      <c r="G103">
        <v>4065</v>
      </c>
      <c r="H103">
        <v>4006</v>
      </c>
      <c r="I103">
        <v>6625</v>
      </c>
      <c r="J103">
        <v>81.900001525878906</v>
      </c>
      <c r="K103">
        <v>934</v>
      </c>
      <c r="L103">
        <v>934</v>
      </c>
      <c r="M103">
        <v>0</v>
      </c>
      <c r="N103">
        <v>69.914001464843693</v>
      </c>
      <c r="O103" s="1">
        <v>3648981</v>
      </c>
      <c r="P103">
        <v>6</v>
      </c>
      <c r="Q103">
        <v>940</v>
      </c>
      <c r="R103">
        <v>1</v>
      </c>
      <c r="S103" s="2">
        <v>45638236.037</v>
      </c>
      <c r="T103" s="2">
        <v>47733661.865000002</v>
      </c>
      <c r="U103" s="2">
        <v>-2095425.828</v>
      </c>
      <c r="V103" s="2">
        <v>-2095425.828</v>
      </c>
      <c r="W103">
        <v>41.299999237060497</v>
      </c>
      <c r="X103">
        <v>3.20000004768371</v>
      </c>
      <c r="Y103">
        <v>20.899999618530199</v>
      </c>
      <c r="Z103">
        <v>34.599998474121001</v>
      </c>
      <c r="AA103">
        <v>0.41999998688697798</v>
      </c>
      <c r="AB103">
        <v>1</v>
      </c>
      <c r="AC103">
        <v>5</v>
      </c>
      <c r="AD103">
        <v>3909</v>
      </c>
      <c r="AE103">
        <v>1.5</v>
      </c>
      <c r="AF103">
        <v>5</v>
      </c>
      <c r="AG103">
        <v>99.919998168945298</v>
      </c>
      <c r="AH103">
        <v>7.9999998211860698E-2</v>
      </c>
      <c r="AI103">
        <v>0</v>
      </c>
      <c r="AJ103">
        <v>39416900</v>
      </c>
      <c r="AK103">
        <v>3804800</v>
      </c>
      <c r="AL103">
        <v>5486000</v>
      </c>
      <c r="AM103">
        <v>119826304</v>
      </c>
      <c r="AN103">
        <v>118986896</v>
      </c>
      <c r="AO103">
        <v>136500</v>
      </c>
      <c r="AP103">
        <v>37.9</v>
      </c>
      <c r="AQ103">
        <v>4</v>
      </c>
      <c r="AR103">
        <f t="shared" si="1"/>
        <v>11120.892043675391</v>
      </c>
    </row>
    <row r="104" spans="1:44" x14ac:dyDescent="0.3">
      <c r="A104">
        <v>2007</v>
      </c>
      <c r="B104" t="s">
        <v>52</v>
      </c>
      <c r="C104">
        <v>65300</v>
      </c>
      <c r="D104">
        <v>3.3789999485015798</v>
      </c>
      <c r="E104">
        <v>3.7249999046325599</v>
      </c>
      <c r="F104">
        <v>8087</v>
      </c>
      <c r="G104">
        <v>4060</v>
      </c>
      <c r="H104">
        <v>4027</v>
      </c>
      <c r="I104">
        <v>6755</v>
      </c>
      <c r="J104">
        <v>82</v>
      </c>
      <c r="K104">
        <v>901</v>
      </c>
      <c r="L104">
        <v>901</v>
      </c>
      <c r="M104">
        <v>0</v>
      </c>
      <c r="N104">
        <v>72.474998474120994</v>
      </c>
      <c r="O104" s="1">
        <v>3750325</v>
      </c>
      <c r="P104">
        <v>10</v>
      </c>
      <c r="Q104">
        <v>911</v>
      </c>
      <c r="R104">
        <v>1</v>
      </c>
      <c r="S104" s="2">
        <v>61235892.616999999</v>
      </c>
      <c r="T104" s="2">
        <v>60552724.832000002</v>
      </c>
      <c r="U104" s="2">
        <v>683167.78500000003</v>
      </c>
      <c r="V104" s="2">
        <v>574496.64399999997</v>
      </c>
      <c r="W104">
        <v>35.099998474121001</v>
      </c>
      <c r="X104">
        <v>2</v>
      </c>
      <c r="Y104">
        <v>21.5</v>
      </c>
      <c r="Z104">
        <v>41.400001525878899</v>
      </c>
      <c r="AA104">
        <v>0.31000000238418601</v>
      </c>
      <c r="AB104">
        <v>1</v>
      </c>
      <c r="AC104">
        <v>5</v>
      </c>
      <c r="AD104">
        <v>3434</v>
      </c>
      <c r="AE104">
        <v>1.5</v>
      </c>
      <c r="AF104">
        <v>5</v>
      </c>
      <c r="AG104">
        <v>99.900001525878906</v>
      </c>
      <c r="AH104">
        <v>0.10000000149011599</v>
      </c>
      <c r="AI104">
        <v>0</v>
      </c>
      <c r="AJ104">
        <v>53461200</v>
      </c>
      <c r="AK104">
        <v>4613800</v>
      </c>
      <c r="AL104">
        <v>7654600</v>
      </c>
      <c r="AM104">
        <v>103543600</v>
      </c>
      <c r="AN104">
        <v>101845904</v>
      </c>
      <c r="AO104">
        <v>194600</v>
      </c>
      <c r="AP104">
        <v>38.200000000000003</v>
      </c>
      <c r="AQ104">
        <v>0</v>
      </c>
      <c r="AR104">
        <f t="shared" si="1"/>
        <v>11305.120030244399</v>
      </c>
    </row>
    <row r="105" spans="1:44" x14ac:dyDescent="0.3">
      <c r="A105">
        <v>2008</v>
      </c>
      <c r="B105" t="s">
        <v>52</v>
      </c>
      <c r="C105">
        <v>65300</v>
      </c>
      <c r="D105">
        <v>3.3599998950958199</v>
      </c>
      <c r="E105">
        <v>3.7750000953674299</v>
      </c>
      <c r="F105">
        <v>8094</v>
      </c>
      <c r="G105">
        <v>4544</v>
      </c>
      <c r="H105">
        <v>3550</v>
      </c>
      <c r="I105">
        <v>6885</v>
      </c>
      <c r="J105">
        <v>84</v>
      </c>
      <c r="K105">
        <v>862</v>
      </c>
      <c r="L105">
        <v>862</v>
      </c>
      <c r="M105">
        <v>0</v>
      </c>
      <c r="N105">
        <v>75.753997802734304</v>
      </c>
      <c r="O105" s="1">
        <v>3897679</v>
      </c>
      <c r="P105">
        <v>16</v>
      </c>
      <c r="Q105">
        <v>878</v>
      </c>
      <c r="R105">
        <v>1</v>
      </c>
      <c r="S105" s="2">
        <v>59395655.629000001</v>
      </c>
      <c r="T105" s="2">
        <v>66976715.232000001</v>
      </c>
      <c r="U105" s="2">
        <v>-7581059.6030000001</v>
      </c>
      <c r="V105" s="2">
        <v>-7581059.6030000001</v>
      </c>
      <c r="W105">
        <v>44.099998474121001</v>
      </c>
      <c r="X105">
        <v>3.70000004768371</v>
      </c>
      <c r="Y105">
        <v>26.799999237060501</v>
      </c>
      <c r="Z105">
        <v>25.399999618530199</v>
      </c>
      <c r="AA105">
        <v>0.40999999642372098</v>
      </c>
      <c r="AB105">
        <v>1</v>
      </c>
      <c r="AC105">
        <v>5</v>
      </c>
      <c r="AD105">
        <v>2981</v>
      </c>
      <c r="AE105">
        <v>1.5</v>
      </c>
      <c r="AF105">
        <v>5.5999999046325604</v>
      </c>
      <c r="AG105">
        <v>99.900001525878906</v>
      </c>
      <c r="AH105">
        <v>0.10000000149011599</v>
      </c>
      <c r="AI105">
        <v>0</v>
      </c>
      <c r="AJ105">
        <v>49369200</v>
      </c>
      <c r="AK105">
        <v>4148800</v>
      </c>
      <c r="AL105">
        <v>7342700</v>
      </c>
      <c r="AM105">
        <v>85344400</v>
      </c>
      <c r="AN105">
        <v>82583400</v>
      </c>
      <c r="AO105">
        <v>211700</v>
      </c>
      <c r="AP105">
        <v>43.2</v>
      </c>
      <c r="AQ105">
        <v>1</v>
      </c>
      <c r="AR105">
        <f t="shared" si="1"/>
        <v>12857.143258561926</v>
      </c>
    </row>
    <row r="106" spans="1:44" x14ac:dyDescent="0.3">
      <c r="A106">
        <v>2009</v>
      </c>
      <c r="B106" t="s">
        <v>52</v>
      </c>
      <c r="C106">
        <v>65300</v>
      </c>
      <c r="D106">
        <v>3.3410000801086399</v>
      </c>
      <c r="E106">
        <v>3.7709999084472599</v>
      </c>
      <c r="F106">
        <v>7744</v>
      </c>
      <c r="G106">
        <v>4235</v>
      </c>
      <c r="H106">
        <v>3509</v>
      </c>
      <c r="I106">
        <v>6592</v>
      </c>
      <c r="J106">
        <v>83.099998474120994</v>
      </c>
      <c r="K106">
        <v>735</v>
      </c>
      <c r="L106">
        <v>735</v>
      </c>
      <c r="M106">
        <v>0</v>
      </c>
      <c r="N106">
        <v>88.844001770019503</v>
      </c>
      <c r="O106">
        <v>4545.7099609375</v>
      </c>
      <c r="P106">
        <v>28</v>
      </c>
      <c r="Q106">
        <v>774</v>
      </c>
      <c r="R106">
        <v>1</v>
      </c>
      <c r="S106" s="2">
        <v>54803479.552000001</v>
      </c>
      <c r="T106" s="2">
        <v>71520712.884000003</v>
      </c>
      <c r="U106" s="2">
        <v>-16717233.332</v>
      </c>
      <c r="V106" s="2">
        <v>-16717233.332</v>
      </c>
      <c r="W106">
        <v>45.5</v>
      </c>
      <c r="X106">
        <v>6.0999999046325604</v>
      </c>
      <c r="Y106">
        <v>28.5</v>
      </c>
      <c r="Z106">
        <v>19.899999618530199</v>
      </c>
      <c r="AA106">
        <v>0.36000001430511502</v>
      </c>
      <c r="AB106">
        <v>1</v>
      </c>
      <c r="AC106">
        <v>5</v>
      </c>
      <c r="AD106">
        <v>2388</v>
      </c>
      <c r="AE106">
        <v>1.5</v>
      </c>
      <c r="AF106">
        <v>5.5</v>
      </c>
      <c r="AG106">
        <v>99.989997863769503</v>
      </c>
      <c r="AH106">
        <v>9.9999997764825804E-3</v>
      </c>
      <c r="AI106">
        <v>0</v>
      </c>
      <c r="AJ106">
        <v>46699700</v>
      </c>
      <c r="AK106">
        <v>3285700</v>
      </c>
      <c r="AL106">
        <v>7906000</v>
      </c>
      <c r="AM106">
        <v>60550100</v>
      </c>
      <c r="AN106">
        <v>57005700</v>
      </c>
      <c r="AO106">
        <v>693700</v>
      </c>
      <c r="AP106">
        <v>39.5</v>
      </c>
      <c r="AQ106">
        <v>1</v>
      </c>
      <c r="AR106">
        <f t="shared" si="1"/>
        <v>11822.807259171203</v>
      </c>
    </row>
    <row r="107" spans="1:44" x14ac:dyDescent="0.3">
      <c r="A107">
        <v>2010</v>
      </c>
      <c r="B107" t="s">
        <v>52</v>
      </c>
      <c r="C107">
        <v>65300</v>
      </c>
      <c r="D107">
        <v>3.3239998817443799</v>
      </c>
      <c r="E107">
        <v>4.0190000534057599</v>
      </c>
      <c r="F107">
        <v>6933</v>
      </c>
      <c r="G107">
        <v>3021</v>
      </c>
      <c r="H107">
        <v>3912</v>
      </c>
      <c r="I107">
        <v>5501</v>
      </c>
      <c r="J107">
        <v>82.599998474120994</v>
      </c>
      <c r="K107">
        <v>737</v>
      </c>
      <c r="L107">
        <v>737</v>
      </c>
      <c r="M107">
        <v>0</v>
      </c>
      <c r="N107">
        <v>88.601997375488196</v>
      </c>
      <c r="O107" s="1">
        <v>4509649</v>
      </c>
      <c r="P107">
        <v>28</v>
      </c>
      <c r="Q107">
        <v>765</v>
      </c>
      <c r="R107">
        <v>1</v>
      </c>
      <c r="S107" s="2">
        <v>44234244.339000002</v>
      </c>
      <c r="T107" s="2">
        <v>47245045.284999996</v>
      </c>
      <c r="U107" s="2">
        <v>-3010800.946</v>
      </c>
      <c r="V107" s="2">
        <v>-2545291.8640000001</v>
      </c>
      <c r="W107">
        <v>45.099998474121001</v>
      </c>
      <c r="X107">
        <v>10.4300003051757</v>
      </c>
      <c r="Y107">
        <v>24.549999237060501</v>
      </c>
      <c r="Z107">
        <v>19.920000076293899</v>
      </c>
      <c r="AA107">
        <v>0.34000000357627902</v>
      </c>
      <c r="AB107">
        <v>1</v>
      </c>
      <c r="AC107">
        <v>5</v>
      </c>
      <c r="AD107">
        <v>2288</v>
      </c>
      <c r="AE107">
        <v>1</v>
      </c>
      <c r="AF107">
        <v>5</v>
      </c>
      <c r="AG107">
        <v>100</v>
      </c>
      <c r="AH107">
        <v>0</v>
      </c>
      <c r="AI107">
        <v>0</v>
      </c>
      <c r="AJ107">
        <v>40119400</v>
      </c>
      <c r="AK107">
        <v>2903823</v>
      </c>
      <c r="AL107">
        <v>8191201</v>
      </c>
      <c r="AM107">
        <v>82476144</v>
      </c>
      <c r="AN107">
        <v>79838072</v>
      </c>
      <c r="AO107">
        <v>502537</v>
      </c>
      <c r="AP107">
        <v>36.5</v>
      </c>
      <c r="AQ107">
        <v>1</v>
      </c>
      <c r="AR107">
        <f t="shared" si="1"/>
        <v>10980.746479703665</v>
      </c>
    </row>
    <row r="108" spans="1:44" x14ac:dyDescent="0.3">
      <c r="A108">
        <v>2011</v>
      </c>
      <c r="B108" t="s">
        <v>52</v>
      </c>
      <c r="C108">
        <v>65300</v>
      </c>
      <c r="D108">
        <v>3.3069999217986998</v>
      </c>
      <c r="E108">
        <v>4.09800004959106</v>
      </c>
      <c r="F108">
        <v>6562</v>
      </c>
      <c r="G108">
        <v>2336</v>
      </c>
      <c r="H108">
        <v>4226</v>
      </c>
      <c r="I108">
        <v>5233</v>
      </c>
      <c r="J108">
        <v>84</v>
      </c>
      <c r="K108">
        <v>715</v>
      </c>
      <c r="L108">
        <v>715</v>
      </c>
      <c r="M108">
        <v>0</v>
      </c>
      <c r="N108">
        <v>91.329002380370994</v>
      </c>
      <c r="O108" s="1">
        <v>4625848</v>
      </c>
      <c r="P108">
        <v>28</v>
      </c>
      <c r="Q108">
        <v>743</v>
      </c>
      <c r="R108">
        <v>1</v>
      </c>
      <c r="S108">
        <v>45936524</v>
      </c>
      <c r="T108" s="2">
        <v>45721116.153999999</v>
      </c>
      <c r="U108" s="2">
        <v>215407.516</v>
      </c>
      <c r="V108" s="2">
        <v>179685.94399999999</v>
      </c>
      <c r="W108">
        <v>44.930000305175703</v>
      </c>
      <c r="X108">
        <v>10.1000003814697</v>
      </c>
      <c r="Y108">
        <v>20.870000839233299</v>
      </c>
      <c r="Z108">
        <v>24.100000381469702</v>
      </c>
      <c r="AA108">
        <v>0.21999999880790699</v>
      </c>
      <c r="AB108">
        <v>1</v>
      </c>
      <c r="AC108">
        <v>5</v>
      </c>
      <c r="AD108">
        <v>2310</v>
      </c>
      <c r="AE108">
        <v>1</v>
      </c>
      <c r="AF108">
        <v>5</v>
      </c>
      <c r="AG108">
        <v>100</v>
      </c>
      <c r="AH108">
        <v>0</v>
      </c>
      <c r="AI108">
        <v>0</v>
      </c>
      <c r="AJ108">
        <v>36599076</v>
      </c>
      <c r="AK108">
        <v>3681956</v>
      </c>
      <c r="AL108">
        <v>9169773</v>
      </c>
      <c r="AM108">
        <v>107798632</v>
      </c>
      <c r="AN108">
        <v>104464816</v>
      </c>
      <c r="AO108">
        <v>424379</v>
      </c>
      <c r="AP108">
        <v>39.799999999999997</v>
      </c>
      <c r="AQ108">
        <v>2</v>
      </c>
      <c r="AR108">
        <f t="shared" si="1"/>
        <v>12035.0773937583</v>
      </c>
    </row>
    <row r="109" spans="1:44" x14ac:dyDescent="0.3">
      <c r="A109">
        <v>2012</v>
      </c>
      <c r="B109" t="s">
        <v>52</v>
      </c>
      <c r="C109">
        <v>65300</v>
      </c>
      <c r="D109">
        <v>3.2920000553131099</v>
      </c>
      <c r="E109">
        <v>4.00500011444091</v>
      </c>
      <c r="F109">
        <v>6257</v>
      </c>
      <c r="G109">
        <v>2476</v>
      </c>
      <c r="H109">
        <v>3781</v>
      </c>
      <c r="I109">
        <v>4977</v>
      </c>
      <c r="J109">
        <v>84</v>
      </c>
      <c r="K109">
        <v>703</v>
      </c>
      <c r="L109">
        <v>703</v>
      </c>
      <c r="M109">
        <v>0</v>
      </c>
      <c r="N109">
        <v>92.888000488281193</v>
      </c>
      <c r="O109" s="1">
        <v>4683434</v>
      </c>
      <c r="P109">
        <v>27</v>
      </c>
      <c r="Q109">
        <v>703</v>
      </c>
      <c r="R109">
        <v>1</v>
      </c>
      <c r="S109" s="2">
        <v>48717168.538999997</v>
      </c>
      <c r="T109" s="2">
        <v>48485148.814000003</v>
      </c>
      <c r="U109" s="2">
        <v>232019.72500000001</v>
      </c>
      <c r="V109" s="2">
        <v>120843.94500000001</v>
      </c>
      <c r="W109">
        <v>43.580001831054602</v>
      </c>
      <c r="X109">
        <v>10.7100000381469</v>
      </c>
      <c r="Y109">
        <v>18.139999389648398</v>
      </c>
      <c r="Z109">
        <v>27.569999694824201</v>
      </c>
      <c r="AA109">
        <v>0.17000000178813901</v>
      </c>
      <c r="AB109">
        <v>1</v>
      </c>
      <c r="AC109">
        <v>6</v>
      </c>
      <c r="AD109">
        <v>2122</v>
      </c>
      <c r="AE109">
        <v>1</v>
      </c>
      <c r="AF109">
        <v>5</v>
      </c>
      <c r="AG109">
        <v>99.910003662109304</v>
      </c>
      <c r="AH109">
        <v>9.00000035762787E-2</v>
      </c>
      <c r="AI109">
        <v>0</v>
      </c>
      <c r="AJ109">
        <v>36257936</v>
      </c>
      <c r="AK109">
        <v>6712669</v>
      </c>
      <c r="AL109">
        <v>7553350</v>
      </c>
      <c r="AM109">
        <v>76519896</v>
      </c>
      <c r="AN109">
        <v>73654936</v>
      </c>
      <c r="AO109">
        <v>299592</v>
      </c>
      <c r="AP109">
        <v>32.909999999999997</v>
      </c>
      <c r="AQ109">
        <v>2</v>
      </c>
      <c r="AR109">
        <f t="shared" si="1"/>
        <v>9996.9621649565415</v>
      </c>
    </row>
    <row r="110" spans="1:44" x14ac:dyDescent="0.3">
      <c r="A110">
        <v>2013</v>
      </c>
      <c r="B110" t="s">
        <v>52</v>
      </c>
      <c r="C110">
        <v>65300</v>
      </c>
      <c r="D110">
        <v>3.0169999599456698</v>
      </c>
      <c r="E110">
        <v>3.8650000095367401</v>
      </c>
      <c r="F110">
        <v>6055</v>
      </c>
      <c r="G110">
        <v>2466</v>
      </c>
      <c r="H110">
        <v>3589</v>
      </c>
      <c r="I110">
        <v>4984</v>
      </c>
      <c r="J110">
        <v>84.699996948242102</v>
      </c>
      <c r="K110">
        <v>740</v>
      </c>
      <c r="L110">
        <v>740</v>
      </c>
      <c r="M110">
        <v>0</v>
      </c>
      <c r="N110">
        <v>88.242996215820298</v>
      </c>
      <c r="O110" s="1">
        <v>4076936</v>
      </c>
      <c r="P110">
        <v>27</v>
      </c>
      <c r="Q110">
        <v>619</v>
      </c>
      <c r="R110">
        <v>1</v>
      </c>
      <c r="S110" s="2">
        <v>52293483.571000002</v>
      </c>
      <c r="T110">
        <v>49069100</v>
      </c>
      <c r="U110" s="2">
        <v>3224385.5109999999</v>
      </c>
      <c r="V110" s="2">
        <v>2742935.3169999998</v>
      </c>
      <c r="W110">
        <v>45.950000762939403</v>
      </c>
      <c r="X110">
        <v>10.6300001144409</v>
      </c>
      <c r="Y110">
        <v>17.7000007629394</v>
      </c>
      <c r="Z110">
        <v>25.7199993133544</v>
      </c>
      <c r="AA110">
        <v>0.119999997317791</v>
      </c>
      <c r="AB110">
        <v>1</v>
      </c>
      <c r="AC110">
        <v>5.5</v>
      </c>
      <c r="AD110">
        <v>1853</v>
      </c>
      <c r="AE110">
        <v>1</v>
      </c>
      <c r="AF110">
        <v>5</v>
      </c>
      <c r="AG110">
        <v>99.910003662109304</v>
      </c>
      <c r="AH110">
        <v>9.00000035762787E-2</v>
      </c>
      <c r="AI110">
        <v>0</v>
      </c>
      <c r="AJ110">
        <v>34394968</v>
      </c>
      <c r="AK110">
        <v>5665900</v>
      </c>
      <c r="AL110">
        <v>8766875</v>
      </c>
      <c r="AM110">
        <v>79367752</v>
      </c>
      <c r="AN110">
        <v>76987984</v>
      </c>
      <c r="AO110">
        <v>145383</v>
      </c>
      <c r="AP110">
        <v>25.72</v>
      </c>
      <c r="AQ110">
        <v>2</v>
      </c>
      <c r="AR110">
        <f t="shared" si="1"/>
        <v>8525.0249723116212</v>
      </c>
    </row>
    <row r="111" spans="1:44" x14ac:dyDescent="0.3">
      <c r="A111">
        <v>2014</v>
      </c>
      <c r="B111" t="s">
        <v>52</v>
      </c>
      <c r="C111">
        <v>65300</v>
      </c>
      <c r="D111">
        <v>3.0179998874664302</v>
      </c>
      <c r="E111">
        <v>4.1129999160766602</v>
      </c>
      <c r="F111">
        <v>5911</v>
      </c>
      <c r="G111">
        <v>2485</v>
      </c>
      <c r="H111">
        <v>3426</v>
      </c>
      <c r="I111">
        <v>5157</v>
      </c>
      <c r="J111">
        <v>84.699996948242102</v>
      </c>
      <c r="K111">
        <v>657</v>
      </c>
      <c r="L111">
        <v>657</v>
      </c>
      <c r="M111">
        <v>0</v>
      </c>
      <c r="N111">
        <v>99.390998840332003</v>
      </c>
      <c r="O111" s="1">
        <v>4593928</v>
      </c>
      <c r="P111">
        <v>27</v>
      </c>
      <c r="Q111">
        <v>679</v>
      </c>
      <c r="R111">
        <v>1</v>
      </c>
      <c r="S111" s="2">
        <v>52374758.327</v>
      </c>
      <c r="T111" s="2">
        <v>51754798.686999999</v>
      </c>
      <c r="U111">
        <v>619959.625</v>
      </c>
      <c r="V111" s="2">
        <v>195950.158</v>
      </c>
      <c r="W111">
        <v>48.360000610351499</v>
      </c>
      <c r="X111">
        <v>8.42000007629394</v>
      </c>
      <c r="Y111">
        <v>17.5100002288818</v>
      </c>
      <c r="Z111">
        <v>25.709999084472599</v>
      </c>
      <c r="AA111">
        <v>0.140000000596046</v>
      </c>
      <c r="AB111">
        <v>1</v>
      </c>
      <c r="AC111">
        <v>5</v>
      </c>
      <c r="AD111">
        <v>1822</v>
      </c>
      <c r="AE111">
        <v>1</v>
      </c>
      <c r="AF111">
        <v>5</v>
      </c>
      <c r="AG111">
        <v>100</v>
      </c>
      <c r="AH111">
        <v>0</v>
      </c>
      <c r="AI111">
        <v>0</v>
      </c>
      <c r="AJ111">
        <v>35024832</v>
      </c>
      <c r="AK111">
        <v>5613926</v>
      </c>
      <c r="AL111">
        <v>10050073</v>
      </c>
      <c r="AM111">
        <v>74542384</v>
      </c>
      <c r="AN111">
        <v>72466880</v>
      </c>
      <c r="AO111">
        <v>119223</v>
      </c>
      <c r="AP111">
        <v>27.17</v>
      </c>
      <c r="AQ111">
        <v>3</v>
      </c>
      <c r="AR111">
        <f t="shared" si="1"/>
        <v>9002.6510977801408</v>
      </c>
    </row>
    <row r="112" spans="1:44" x14ac:dyDescent="0.3">
      <c r="A112">
        <v>2015</v>
      </c>
      <c r="B112" t="s">
        <v>52</v>
      </c>
      <c r="C112">
        <v>65300</v>
      </c>
      <c r="D112">
        <v>2.8780000209808301</v>
      </c>
      <c r="E112">
        <v>1.2699999809265099</v>
      </c>
      <c r="F112">
        <v>5721</v>
      </c>
      <c r="G112">
        <v>2591</v>
      </c>
      <c r="H112">
        <v>3130</v>
      </c>
      <c r="I112">
        <v>4748</v>
      </c>
      <c r="J112">
        <v>84</v>
      </c>
      <c r="K112">
        <v>687</v>
      </c>
      <c r="L112">
        <v>686</v>
      </c>
      <c r="M112">
        <v>1</v>
      </c>
      <c r="N112">
        <v>95.051002502441406</v>
      </c>
      <c r="O112" s="1">
        <v>4189818</v>
      </c>
      <c r="P112">
        <v>476</v>
      </c>
      <c r="Q112">
        <v>686</v>
      </c>
      <c r="R112">
        <v>2</v>
      </c>
      <c r="S112" s="2">
        <v>55269345.669</v>
      </c>
      <c r="T112" s="2">
        <v>54438035.432999998</v>
      </c>
      <c r="U112" s="2">
        <v>831310.23600000003</v>
      </c>
      <c r="V112" s="2">
        <v>681396.06299999997</v>
      </c>
      <c r="W112">
        <v>49.790000915527301</v>
      </c>
      <c r="X112">
        <v>6.71000003814697</v>
      </c>
      <c r="Y112">
        <v>16.459999084472599</v>
      </c>
      <c r="Z112">
        <v>27.040000915527301</v>
      </c>
      <c r="AA112">
        <v>0.15999999642372101</v>
      </c>
      <c r="AB112">
        <v>1</v>
      </c>
      <c r="AC112">
        <v>5</v>
      </c>
      <c r="AD112">
        <v>1687</v>
      </c>
      <c r="AE112">
        <v>1</v>
      </c>
      <c r="AF112">
        <v>5</v>
      </c>
      <c r="AG112">
        <v>100</v>
      </c>
      <c r="AH112">
        <v>0</v>
      </c>
      <c r="AI112">
        <v>0</v>
      </c>
      <c r="AJ112">
        <v>34064816</v>
      </c>
      <c r="AK112">
        <v>13676844</v>
      </c>
      <c r="AL112">
        <v>9945127</v>
      </c>
      <c r="AM112">
        <v>61461872</v>
      </c>
      <c r="AN112">
        <v>59561336</v>
      </c>
      <c r="AO112">
        <v>113506</v>
      </c>
      <c r="AP112">
        <v>26.42</v>
      </c>
      <c r="AQ112">
        <v>3</v>
      </c>
      <c r="AR112">
        <f t="shared" si="1"/>
        <v>9179.9860345365796</v>
      </c>
    </row>
    <row r="113" spans="1:44" x14ac:dyDescent="0.3">
      <c r="A113">
        <v>2016</v>
      </c>
      <c r="B113" t="s">
        <v>52</v>
      </c>
      <c r="C113">
        <v>65300</v>
      </c>
      <c r="D113">
        <v>2.9079999923706001</v>
      </c>
      <c r="E113">
        <v>1.2799999713897701</v>
      </c>
      <c r="F113">
        <v>5670</v>
      </c>
      <c r="G113">
        <v>2513</v>
      </c>
      <c r="H113">
        <v>3157</v>
      </c>
      <c r="I113">
        <v>4577</v>
      </c>
      <c r="J113">
        <v>83.5</v>
      </c>
      <c r="K113">
        <v>674</v>
      </c>
      <c r="L113">
        <v>674</v>
      </c>
      <c r="M113">
        <v>0</v>
      </c>
      <c r="N113">
        <v>96.884002685546804</v>
      </c>
      <c r="O113" s="1">
        <v>4314909</v>
      </c>
      <c r="P113">
        <v>465</v>
      </c>
      <c r="Q113">
        <v>674</v>
      </c>
      <c r="R113">
        <v>2</v>
      </c>
      <c r="S113" s="2">
        <v>53105698.438000001</v>
      </c>
      <c r="T113" s="2">
        <v>52297382.813000001</v>
      </c>
      <c r="U113" s="2">
        <v>808315.625</v>
      </c>
      <c r="V113" s="2">
        <v>775486.71900000004</v>
      </c>
      <c r="W113">
        <v>51.529998779296797</v>
      </c>
      <c r="X113">
        <v>6.9499998092651296</v>
      </c>
      <c r="Y113">
        <v>16.770000457763601</v>
      </c>
      <c r="Z113">
        <v>24.75</v>
      </c>
      <c r="AA113">
        <v>0.20000000298023199</v>
      </c>
      <c r="AB113">
        <v>1</v>
      </c>
      <c r="AC113">
        <v>5</v>
      </c>
      <c r="AD113">
        <v>1670</v>
      </c>
      <c r="AE113">
        <v>1</v>
      </c>
      <c r="AF113">
        <v>5</v>
      </c>
      <c r="AG113">
        <v>100</v>
      </c>
      <c r="AH113">
        <v>0</v>
      </c>
      <c r="AI113">
        <v>0</v>
      </c>
      <c r="AJ113">
        <v>37463532</v>
      </c>
      <c r="AK113">
        <v>5189019</v>
      </c>
      <c r="AL113">
        <v>9917946</v>
      </c>
      <c r="AM113">
        <v>69005320</v>
      </c>
      <c r="AN113">
        <v>67365416</v>
      </c>
      <c r="AO113">
        <v>128581</v>
      </c>
      <c r="AP113">
        <v>21.55</v>
      </c>
      <c r="AQ113">
        <v>3</v>
      </c>
      <c r="AR113">
        <f t="shared" si="1"/>
        <v>7410.5914912442804</v>
      </c>
    </row>
    <row r="114" spans="1:44" x14ac:dyDescent="0.3">
      <c r="A114">
        <v>2017</v>
      </c>
      <c r="B114" t="s">
        <v>52</v>
      </c>
      <c r="C114">
        <v>65300</v>
      </c>
      <c r="D114">
        <v>2.8900001049041699</v>
      </c>
      <c r="E114">
        <v>1.20000004768371</v>
      </c>
      <c r="F114">
        <v>5328</v>
      </c>
      <c r="G114">
        <v>2527</v>
      </c>
      <c r="H114">
        <v>2801</v>
      </c>
      <c r="I114">
        <v>4406</v>
      </c>
      <c r="J114">
        <v>83</v>
      </c>
      <c r="K114">
        <v>570</v>
      </c>
      <c r="L114">
        <v>570</v>
      </c>
      <c r="M114">
        <v>0</v>
      </c>
      <c r="N114">
        <v>114.560997009277</v>
      </c>
      <c r="O114" s="1">
        <v>5070696</v>
      </c>
      <c r="P114">
        <v>376</v>
      </c>
      <c r="Q114">
        <v>570</v>
      </c>
      <c r="R114">
        <v>2</v>
      </c>
      <c r="S114" s="2">
        <v>60167389.167000003</v>
      </c>
      <c r="T114">
        <v>58401548</v>
      </c>
      <c r="U114" s="2">
        <v>1765841.6669999999</v>
      </c>
      <c r="V114" s="2">
        <v>1578440.8330000001</v>
      </c>
      <c r="W114">
        <v>56.900001525878899</v>
      </c>
      <c r="X114">
        <v>6.46000003814697</v>
      </c>
      <c r="Y114">
        <v>17</v>
      </c>
      <c r="Z114">
        <v>19.639999389648398</v>
      </c>
      <c r="AA114">
        <v>0.15000000596046401</v>
      </c>
      <c r="AB114">
        <v>1</v>
      </c>
      <c r="AC114">
        <v>5</v>
      </c>
      <c r="AD114">
        <v>1581</v>
      </c>
      <c r="AE114">
        <v>1</v>
      </c>
      <c r="AF114">
        <v>5</v>
      </c>
      <c r="AG114">
        <v>97</v>
      </c>
      <c r="AH114">
        <v>3</v>
      </c>
      <c r="AI114">
        <v>0</v>
      </c>
      <c r="AJ114">
        <v>38433216</v>
      </c>
      <c r="AK114">
        <v>4161557</v>
      </c>
      <c r="AL114">
        <v>11973871</v>
      </c>
      <c r="AM114">
        <v>39151080</v>
      </c>
      <c r="AN114">
        <v>37500860</v>
      </c>
      <c r="AO114">
        <v>140999</v>
      </c>
      <c r="AP114">
        <v>25.41</v>
      </c>
      <c r="AQ114">
        <v>4</v>
      </c>
      <c r="AR114">
        <f t="shared" si="1"/>
        <v>8792.3872240975488</v>
      </c>
    </row>
    <row r="115" spans="1:44" x14ac:dyDescent="0.3">
      <c r="A115">
        <v>2004</v>
      </c>
      <c r="B115" t="s">
        <v>53</v>
      </c>
      <c r="C115">
        <v>2586</v>
      </c>
      <c r="D115">
        <v>0.451999992132187</v>
      </c>
      <c r="E115">
        <v>1.1399999856948799</v>
      </c>
      <c r="F115">
        <v>1755</v>
      </c>
      <c r="G115">
        <v>1139</v>
      </c>
      <c r="H115">
        <v>616</v>
      </c>
      <c r="I115">
        <v>1485</v>
      </c>
      <c r="J115">
        <v>35</v>
      </c>
      <c r="K115">
        <v>109</v>
      </c>
      <c r="L115">
        <v>105</v>
      </c>
      <c r="M115">
        <v>4</v>
      </c>
      <c r="N115">
        <v>23.725000381469702</v>
      </c>
      <c r="O115" s="1">
        <v>4150633</v>
      </c>
      <c r="P115">
        <v>430</v>
      </c>
      <c r="Q115">
        <v>109</v>
      </c>
      <c r="R115">
        <v>1</v>
      </c>
      <c r="S115" s="2">
        <v>128002133.03399999</v>
      </c>
      <c r="T115" s="2">
        <v>110747008.315</v>
      </c>
      <c r="U115" s="2">
        <v>17255124.719000001</v>
      </c>
      <c r="V115" s="2">
        <v>12869503.403000001</v>
      </c>
      <c r="W115">
        <v>84</v>
      </c>
      <c r="X115">
        <v>3</v>
      </c>
      <c r="Y115">
        <v>12</v>
      </c>
      <c r="Z115">
        <v>1</v>
      </c>
      <c r="AA115">
        <v>1.5</v>
      </c>
      <c r="AB115">
        <v>2</v>
      </c>
      <c r="AC115">
        <v>6</v>
      </c>
      <c r="AD115">
        <v>1159</v>
      </c>
      <c r="AE115">
        <v>1</v>
      </c>
      <c r="AF115">
        <v>5</v>
      </c>
      <c r="AG115">
        <v>100</v>
      </c>
      <c r="AH115">
        <v>0</v>
      </c>
      <c r="AI115">
        <v>0</v>
      </c>
      <c r="AJ115">
        <v>105000000</v>
      </c>
      <c r="AK115">
        <v>43400000</v>
      </c>
      <c r="AL115">
        <v>28300000</v>
      </c>
      <c r="AM115">
        <v>77300000</v>
      </c>
      <c r="AN115">
        <v>37300000</v>
      </c>
      <c r="AO115">
        <v>5000</v>
      </c>
      <c r="AP115">
        <v>146</v>
      </c>
      <c r="AQ115">
        <v>4</v>
      </c>
      <c r="AR115">
        <f t="shared" si="1"/>
        <v>323008.85518002935</v>
      </c>
    </row>
    <row r="116" spans="1:44" x14ac:dyDescent="0.3">
      <c r="A116">
        <v>2005</v>
      </c>
      <c r="B116" t="s">
        <v>53</v>
      </c>
      <c r="C116">
        <v>2586</v>
      </c>
      <c r="D116">
        <v>0.45699998736381497</v>
      </c>
      <c r="E116">
        <v>1.2120000123977599</v>
      </c>
      <c r="F116">
        <v>1746</v>
      </c>
      <c r="G116">
        <v>1171</v>
      </c>
      <c r="H116">
        <v>575</v>
      </c>
      <c r="I116">
        <v>1475</v>
      </c>
      <c r="J116">
        <v>35</v>
      </c>
      <c r="K116">
        <v>107</v>
      </c>
      <c r="L116">
        <v>105</v>
      </c>
      <c r="M116">
        <v>2</v>
      </c>
      <c r="N116">
        <v>24.1679992675781</v>
      </c>
      <c r="O116" s="1">
        <v>4267411</v>
      </c>
      <c r="P116">
        <v>430</v>
      </c>
      <c r="Q116">
        <v>107</v>
      </c>
      <c r="R116">
        <v>1</v>
      </c>
      <c r="S116" s="2">
        <v>123069911.271</v>
      </c>
      <c r="T116" s="2">
        <v>113183649.045</v>
      </c>
      <c r="U116" s="2">
        <v>9886262.2259999998</v>
      </c>
      <c r="V116" s="2">
        <v>7017863.068</v>
      </c>
      <c r="W116">
        <v>83</v>
      </c>
      <c r="X116">
        <v>3</v>
      </c>
      <c r="Y116">
        <v>13</v>
      </c>
      <c r="Z116">
        <v>1</v>
      </c>
      <c r="AA116">
        <v>1.5</v>
      </c>
      <c r="AB116">
        <v>2</v>
      </c>
      <c r="AC116">
        <v>6</v>
      </c>
      <c r="AD116">
        <v>1153</v>
      </c>
      <c r="AE116">
        <v>1</v>
      </c>
      <c r="AF116">
        <v>5</v>
      </c>
      <c r="AG116">
        <v>100</v>
      </c>
      <c r="AH116">
        <v>0</v>
      </c>
      <c r="AI116">
        <v>0</v>
      </c>
      <c r="AJ116">
        <v>105100000</v>
      </c>
      <c r="AK116">
        <v>42800000</v>
      </c>
      <c r="AL116">
        <v>28200000</v>
      </c>
      <c r="AM116">
        <v>73200000</v>
      </c>
      <c r="AN116">
        <v>34200000</v>
      </c>
      <c r="AO116">
        <v>6000</v>
      </c>
      <c r="AP116">
        <v>149</v>
      </c>
      <c r="AQ116">
        <v>4</v>
      </c>
      <c r="AR116">
        <f t="shared" si="1"/>
        <v>326039.39632361953</v>
      </c>
    </row>
    <row r="117" spans="1:44" x14ac:dyDescent="0.3">
      <c r="A117">
        <v>2006</v>
      </c>
      <c r="B117" t="s">
        <v>53</v>
      </c>
      <c r="C117">
        <v>2586</v>
      </c>
      <c r="D117">
        <v>0.460999995470047</v>
      </c>
      <c r="E117">
        <v>1.1419999599456701</v>
      </c>
      <c r="F117">
        <v>1897</v>
      </c>
      <c r="G117">
        <v>1156</v>
      </c>
      <c r="H117">
        <v>741</v>
      </c>
      <c r="I117">
        <v>1618</v>
      </c>
      <c r="J117">
        <v>36</v>
      </c>
      <c r="K117">
        <v>108</v>
      </c>
      <c r="L117">
        <v>104</v>
      </c>
      <c r="M117">
        <v>4</v>
      </c>
      <c r="N117">
        <v>23.9440002441406</v>
      </c>
      <c r="O117" s="1">
        <v>4271824</v>
      </c>
      <c r="P117">
        <v>357</v>
      </c>
      <c r="Q117">
        <v>109</v>
      </c>
      <c r="R117">
        <v>1</v>
      </c>
      <c r="S117" s="2">
        <v>128110104.176</v>
      </c>
      <c r="T117" s="2">
        <v>121229043.15899999</v>
      </c>
      <c r="U117" s="2">
        <v>6881061.017</v>
      </c>
      <c r="V117" s="2">
        <v>4990104.176</v>
      </c>
      <c r="W117">
        <v>81</v>
      </c>
      <c r="X117">
        <v>4</v>
      </c>
      <c r="Y117">
        <v>14</v>
      </c>
      <c r="Z117">
        <v>1</v>
      </c>
      <c r="AA117">
        <v>1</v>
      </c>
      <c r="AB117">
        <v>2</v>
      </c>
      <c r="AC117">
        <v>6</v>
      </c>
      <c r="AD117">
        <v>1167</v>
      </c>
      <c r="AE117">
        <v>1</v>
      </c>
      <c r="AF117">
        <v>5</v>
      </c>
      <c r="AG117">
        <v>100</v>
      </c>
      <c r="AH117">
        <v>0</v>
      </c>
      <c r="AI117">
        <v>0</v>
      </c>
      <c r="AJ117">
        <v>109400000</v>
      </c>
      <c r="AK117">
        <v>39800000</v>
      </c>
      <c r="AL117">
        <v>25700000</v>
      </c>
      <c r="AM117">
        <v>29800000</v>
      </c>
      <c r="AN117">
        <v>29800000</v>
      </c>
      <c r="AO117">
        <v>8107</v>
      </c>
      <c r="AP117">
        <v>146.30000000000001</v>
      </c>
      <c r="AQ117">
        <v>4</v>
      </c>
      <c r="AR117">
        <f t="shared" si="1"/>
        <v>317353.58229413629</v>
      </c>
    </row>
    <row r="118" spans="1:44" x14ac:dyDescent="0.3">
      <c r="A118">
        <v>2007</v>
      </c>
      <c r="B118" t="s">
        <v>53</v>
      </c>
      <c r="C118">
        <v>2586</v>
      </c>
      <c r="D118">
        <v>0.47600001096725503</v>
      </c>
      <c r="E118">
        <v>1.0740000009536701</v>
      </c>
      <c r="F118">
        <v>1841</v>
      </c>
      <c r="G118">
        <v>1133</v>
      </c>
      <c r="H118">
        <v>708</v>
      </c>
      <c r="I118">
        <v>1559</v>
      </c>
      <c r="J118">
        <v>35</v>
      </c>
      <c r="K118">
        <v>108</v>
      </c>
      <c r="L118">
        <v>104</v>
      </c>
      <c r="M118">
        <v>4</v>
      </c>
      <c r="N118">
        <v>23.9440002441406</v>
      </c>
      <c r="O118" s="1">
        <v>4404759</v>
      </c>
      <c r="P118">
        <v>358</v>
      </c>
      <c r="Q118">
        <v>108</v>
      </c>
      <c r="R118">
        <v>1</v>
      </c>
      <c r="S118" s="2">
        <v>137172904.51800001</v>
      </c>
      <c r="T118" s="2">
        <v>130114709.82799999</v>
      </c>
      <c r="U118">
        <v>7058194.5</v>
      </c>
      <c r="V118" s="2">
        <v>4967934.7929999996</v>
      </c>
      <c r="W118">
        <v>78</v>
      </c>
      <c r="X118">
        <v>3</v>
      </c>
      <c r="Y118">
        <v>18</v>
      </c>
      <c r="Z118">
        <v>1</v>
      </c>
      <c r="AA118">
        <v>1.5</v>
      </c>
      <c r="AB118">
        <v>2</v>
      </c>
      <c r="AC118">
        <v>6</v>
      </c>
      <c r="AD118">
        <v>1176</v>
      </c>
      <c r="AE118">
        <v>1</v>
      </c>
      <c r="AF118">
        <v>5</v>
      </c>
      <c r="AG118">
        <v>100</v>
      </c>
      <c r="AH118">
        <v>0</v>
      </c>
      <c r="AI118">
        <v>0</v>
      </c>
      <c r="AJ118">
        <v>105300000</v>
      </c>
      <c r="AK118">
        <v>34400000</v>
      </c>
      <c r="AL118">
        <v>26100000</v>
      </c>
      <c r="AM118">
        <v>34600000</v>
      </c>
      <c r="AN118">
        <v>34600000</v>
      </c>
      <c r="AO118">
        <v>148300</v>
      </c>
      <c r="AP118">
        <v>147.30000000000001</v>
      </c>
      <c r="AQ118">
        <v>0</v>
      </c>
      <c r="AR118">
        <f t="shared" si="1"/>
        <v>309453.77438265027</v>
      </c>
    </row>
    <row r="119" spans="1:44" x14ac:dyDescent="0.3">
      <c r="A119">
        <v>2008</v>
      </c>
      <c r="B119" t="s">
        <v>53</v>
      </c>
      <c r="C119">
        <v>2586</v>
      </c>
      <c r="D119">
        <v>0.48699998855590798</v>
      </c>
      <c r="E119">
        <v>1.10699999332427</v>
      </c>
      <c r="F119">
        <v>1843</v>
      </c>
      <c r="G119">
        <v>1127</v>
      </c>
      <c r="H119">
        <v>716</v>
      </c>
      <c r="I119">
        <v>1554</v>
      </c>
      <c r="J119">
        <v>35</v>
      </c>
      <c r="K119">
        <v>111</v>
      </c>
      <c r="L119">
        <v>103</v>
      </c>
      <c r="M119">
        <v>8</v>
      </c>
      <c r="N119">
        <v>23.297000885009702</v>
      </c>
      <c r="O119" s="1">
        <v>4385414</v>
      </c>
      <c r="P119">
        <v>358</v>
      </c>
      <c r="Q119">
        <v>111</v>
      </c>
      <c r="R119">
        <v>1</v>
      </c>
      <c r="S119" s="2">
        <v>132787807.588</v>
      </c>
      <c r="T119" s="2">
        <v>127817172.538</v>
      </c>
      <c r="U119">
        <v>4970635</v>
      </c>
      <c r="V119">
        <v>3599365</v>
      </c>
      <c r="W119">
        <v>78</v>
      </c>
      <c r="X119">
        <v>3</v>
      </c>
      <c r="Y119">
        <v>18</v>
      </c>
      <c r="Z119">
        <v>1</v>
      </c>
      <c r="AA119">
        <v>1.5</v>
      </c>
      <c r="AB119">
        <v>2</v>
      </c>
      <c r="AC119">
        <v>6</v>
      </c>
      <c r="AD119">
        <v>1168</v>
      </c>
      <c r="AE119">
        <v>1</v>
      </c>
      <c r="AF119">
        <v>5</v>
      </c>
      <c r="AG119">
        <v>100</v>
      </c>
      <c r="AH119">
        <v>0</v>
      </c>
      <c r="AI119">
        <v>0</v>
      </c>
      <c r="AJ119">
        <v>113900000</v>
      </c>
      <c r="AK119">
        <v>29900000</v>
      </c>
      <c r="AL119">
        <v>26900000</v>
      </c>
      <c r="AM119">
        <v>40100000</v>
      </c>
      <c r="AN119">
        <v>40100000</v>
      </c>
      <c r="AO119">
        <v>202000</v>
      </c>
      <c r="AP119">
        <v>147</v>
      </c>
      <c r="AQ119">
        <v>0</v>
      </c>
      <c r="AR119">
        <f t="shared" si="1"/>
        <v>301848.05637449061</v>
      </c>
    </row>
    <row r="120" spans="1:44" x14ac:dyDescent="0.3">
      <c r="A120">
        <v>2008</v>
      </c>
      <c r="B120" t="s">
        <v>54</v>
      </c>
      <c r="C120">
        <v>316</v>
      </c>
      <c r="D120">
        <v>0.414000004529953</v>
      </c>
      <c r="E120">
        <v>1.10699999332427</v>
      </c>
      <c r="F120">
        <v>596</v>
      </c>
      <c r="G120">
        <v>561</v>
      </c>
      <c r="H120">
        <v>35</v>
      </c>
      <c r="I120">
        <v>589</v>
      </c>
      <c r="J120">
        <v>33</v>
      </c>
      <c r="K120">
        <v>60</v>
      </c>
      <c r="L120">
        <v>33</v>
      </c>
      <c r="M120">
        <v>27</v>
      </c>
      <c r="N120">
        <v>5.2670001983642498</v>
      </c>
      <c r="O120">
        <v>6899.10009765625</v>
      </c>
      <c r="P120">
        <v>1</v>
      </c>
      <c r="Q120">
        <v>32</v>
      </c>
      <c r="R120">
        <v>1</v>
      </c>
      <c r="S120" s="2">
        <v>18428596.206</v>
      </c>
      <c r="T120" s="2">
        <v>15406579.041999999</v>
      </c>
      <c r="U120" s="2">
        <v>3022017.1639999999</v>
      </c>
      <c r="V120">
        <v>1478008.125</v>
      </c>
      <c r="W120">
        <v>66</v>
      </c>
      <c r="X120">
        <v>8</v>
      </c>
      <c r="Y120">
        <f>AVERAGE(Y121:Y125)</f>
        <v>0.68200001120567288</v>
      </c>
      <c r="Z120">
        <v>26</v>
      </c>
      <c r="AA120">
        <v>5</v>
      </c>
      <c r="AB120">
        <v>1</v>
      </c>
      <c r="AC120">
        <v>6</v>
      </c>
      <c r="AD120">
        <v>466</v>
      </c>
      <c r="AE120">
        <v>1</v>
      </c>
      <c r="AF120">
        <v>6</v>
      </c>
      <c r="AG120">
        <v>100</v>
      </c>
      <c r="AH120">
        <v>0</v>
      </c>
      <c r="AI120">
        <v>0</v>
      </c>
      <c r="AJ120">
        <v>44563260</v>
      </c>
      <c r="AK120">
        <v>4963056</v>
      </c>
      <c r="AL120">
        <v>5880319</v>
      </c>
      <c r="AM120">
        <v>17381664</v>
      </c>
      <c r="AN120">
        <v>17381664</v>
      </c>
      <c r="AO120">
        <v>512</v>
      </c>
      <c r="AP120">
        <v>20.100000000000001</v>
      </c>
      <c r="AQ120">
        <v>1</v>
      </c>
      <c r="AR120">
        <f t="shared" si="1"/>
        <v>48550.724106443238</v>
      </c>
    </row>
    <row r="121" spans="1:44" x14ac:dyDescent="0.3">
      <c r="A121">
        <v>2009</v>
      </c>
      <c r="B121" t="s">
        <v>54</v>
      </c>
      <c r="C121">
        <v>316</v>
      </c>
      <c r="D121">
        <v>0.41499999165535001</v>
      </c>
      <c r="E121">
        <v>1.0880000591278001</v>
      </c>
      <c r="F121">
        <v>639</v>
      </c>
      <c r="G121">
        <v>543</v>
      </c>
      <c r="H121">
        <v>96</v>
      </c>
      <c r="I121">
        <v>601</v>
      </c>
      <c r="J121">
        <v>38.599998474121001</v>
      </c>
      <c r="K121">
        <v>61</v>
      </c>
      <c r="L121">
        <v>32</v>
      </c>
      <c r="M121">
        <v>29</v>
      </c>
      <c r="N121">
        <v>5.1799998283386204</v>
      </c>
      <c r="O121" s="1">
        <v>6806885</v>
      </c>
      <c r="P121">
        <v>1</v>
      </c>
      <c r="Q121">
        <v>32</v>
      </c>
      <c r="R121">
        <v>1</v>
      </c>
      <c r="S121" s="2">
        <v>18490600.245999999</v>
      </c>
      <c r="T121" s="2">
        <v>15098977.229</v>
      </c>
      <c r="U121" s="2">
        <v>3391623.017</v>
      </c>
      <c r="V121">
        <v>1813523.875</v>
      </c>
      <c r="W121">
        <v>80</v>
      </c>
      <c r="X121">
        <v>9</v>
      </c>
      <c r="Y121">
        <v>1</v>
      </c>
      <c r="Z121">
        <v>10</v>
      </c>
      <c r="AA121">
        <v>2</v>
      </c>
      <c r="AB121">
        <v>1</v>
      </c>
      <c r="AC121">
        <v>1</v>
      </c>
      <c r="AD121">
        <v>468</v>
      </c>
      <c r="AE121">
        <v>1</v>
      </c>
      <c r="AF121">
        <v>1</v>
      </c>
      <c r="AG121">
        <f>AVERAGE(AG120,AG122:AG125)</f>
        <v>99.760000610351568</v>
      </c>
      <c r="AH121">
        <v>0</v>
      </c>
      <c r="AI121">
        <v>0</v>
      </c>
      <c r="AJ121">
        <v>54986772</v>
      </c>
      <c r="AK121">
        <v>3444000</v>
      </c>
      <c r="AL121">
        <v>4628937</v>
      </c>
      <c r="AM121">
        <v>19053296</v>
      </c>
      <c r="AN121">
        <v>17362848</v>
      </c>
      <c r="AO121">
        <v>613</v>
      </c>
      <c r="AP121">
        <v>20.399999999999999</v>
      </c>
      <c r="AQ121">
        <v>1</v>
      </c>
      <c r="AR121">
        <f t="shared" si="1"/>
        <v>49156.627494445427</v>
      </c>
    </row>
    <row r="122" spans="1:44" x14ac:dyDescent="0.3">
      <c r="A122">
        <v>2010</v>
      </c>
      <c r="B122" t="s">
        <v>54</v>
      </c>
      <c r="C122">
        <v>316</v>
      </c>
      <c r="D122">
        <v>0.41699999570846602</v>
      </c>
      <c r="E122">
        <v>1.15999996662139</v>
      </c>
      <c r="F122">
        <v>641</v>
      </c>
      <c r="G122">
        <v>526</v>
      </c>
      <c r="H122">
        <v>115</v>
      </c>
      <c r="I122">
        <v>583</v>
      </c>
      <c r="J122">
        <v>24.5</v>
      </c>
      <c r="K122">
        <v>62</v>
      </c>
      <c r="L122">
        <v>33</v>
      </c>
      <c r="M122">
        <v>29</v>
      </c>
      <c r="N122">
        <v>5.0970001220703098</v>
      </c>
      <c r="O122" s="1">
        <v>6717984</v>
      </c>
      <c r="P122">
        <v>1</v>
      </c>
      <c r="Q122">
        <v>33</v>
      </c>
      <c r="R122">
        <v>5</v>
      </c>
      <c r="S122" s="2">
        <v>17848858.285999998</v>
      </c>
      <c r="T122" s="2">
        <v>15089195.971000001</v>
      </c>
      <c r="U122" s="2">
        <v>2759662.3149999999</v>
      </c>
      <c r="V122" s="2">
        <v>1821072.5560000001</v>
      </c>
      <c r="W122">
        <v>80.5</v>
      </c>
      <c r="X122">
        <v>8.8999996185302699</v>
      </c>
      <c r="Y122">
        <v>0.40000000596046398</v>
      </c>
      <c r="Z122">
        <v>10.300000190734799</v>
      </c>
      <c r="AA122">
        <v>2.9000000953674299</v>
      </c>
      <c r="AB122">
        <v>1</v>
      </c>
      <c r="AC122">
        <f>AVERAGE(AC120:AC121)</f>
        <v>3.5</v>
      </c>
      <c r="AD122">
        <v>467</v>
      </c>
      <c r="AE122">
        <v>1</v>
      </c>
      <c r="AF122">
        <v>6</v>
      </c>
      <c r="AG122">
        <v>98.800003051757798</v>
      </c>
      <c r="AH122">
        <v>1.20000004768371</v>
      </c>
      <c r="AI122">
        <v>0</v>
      </c>
      <c r="AJ122">
        <v>36535080</v>
      </c>
      <c r="AK122">
        <v>3069405</v>
      </c>
      <c r="AL122">
        <v>5105148</v>
      </c>
      <c r="AM122">
        <v>18109420</v>
      </c>
      <c r="AN122">
        <v>16911812</v>
      </c>
      <c r="AO122">
        <v>730</v>
      </c>
      <c r="AP122">
        <v>20</v>
      </c>
      <c r="AQ122">
        <v>1</v>
      </c>
      <c r="AR122">
        <f t="shared" si="1"/>
        <v>47961.6311890383</v>
      </c>
    </row>
    <row r="123" spans="1:44" x14ac:dyDescent="0.3">
      <c r="A123">
        <v>2011</v>
      </c>
      <c r="B123" t="s">
        <v>54</v>
      </c>
      <c r="C123">
        <v>316</v>
      </c>
      <c r="D123">
        <v>0.41800001263618503</v>
      </c>
      <c r="E123">
        <v>1.18700003623962</v>
      </c>
      <c r="F123">
        <v>613</v>
      </c>
      <c r="G123">
        <v>490</v>
      </c>
      <c r="H123">
        <v>123</v>
      </c>
      <c r="I123">
        <v>597</v>
      </c>
      <c r="J123">
        <v>38.169998168945298</v>
      </c>
      <c r="K123">
        <v>63</v>
      </c>
      <c r="L123">
        <v>34</v>
      </c>
      <c r="M123">
        <v>29</v>
      </c>
      <c r="N123">
        <v>5.0159997940063397</v>
      </c>
      <c r="O123" s="1">
        <v>6632619</v>
      </c>
      <c r="P123">
        <v>1</v>
      </c>
      <c r="Q123">
        <v>63</v>
      </c>
      <c r="R123">
        <v>5</v>
      </c>
      <c r="S123" s="2">
        <v>18290352.991</v>
      </c>
      <c r="T123" s="2">
        <v>15722759.899</v>
      </c>
      <c r="U123" s="2">
        <v>2567593.0920000002</v>
      </c>
      <c r="V123" s="2">
        <v>1624642.797</v>
      </c>
      <c r="W123">
        <v>77.800003051757798</v>
      </c>
      <c r="X123">
        <v>8.1999998092651296</v>
      </c>
      <c r="Y123">
        <v>0.60000002384185702</v>
      </c>
      <c r="Z123">
        <v>13.399999618530201</v>
      </c>
      <c r="AA123">
        <v>1.6000000238418499</v>
      </c>
      <c r="AB123">
        <v>1</v>
      </c>
      <c r="AC123">
        <f>AVERAGE(AC120:AC121)</f>
        <v>3.5</v>
      </c>
      <c r="AD123">
        <v>470</v>
      </c>
      <c r="AE123">
        <v>1</v>
      </c>
      <c r="AF123">
        <v>6</v>
      </c>
      <c r="AG123">
        <v>100</v>
      </c>
      <c r="AH123">
        <v>0</v>
      </c>
      <c r="AI123">
        <v>0</v>
      </c>
      <c r="AJ123">
        <v>35123152</v>
      </c>
      <c r="AK123">
        <v>3116216</v>
      </c>
      <c r="AL123">
        <v>4987375</v>
      </c>
      <c r="AM123">
        <v>20859592</v>
      </c>
      <c r="AN123">
        <v>19756108</v>
      </c>
      <c r="AO123">
        <v>838</v>
      </c>
      <c r="AP123">
        <v>22</v>
      </c>
      <c r="AQ123">
        <v>1</v>
      </c>
      <c r="AR123">
        <f t="shared" si="1"/>
        <v>52631.577356310168</v>
      </c>
    </row>
    <row r="124" spans="1:44" x14ac:dyDescent="0.3">
      <c r="A124">
        <v>2012</v>
      </c>
      <c r="B124" t="s">
        <v>54</v>
      </c>
      <c r="C124">
        <v>316</v>
      </c>
      <c r="D124">
        <v>0.41899999976158098</v>
      </c>
      <c r="E124">
        <v>1.16499996185302</v>
      </c>
      <c r="F124">
        <v>618</v>
      </c>
      <c r="G124">
        <v>474</v>
      </c>
      <c r="H124">
        <v>144</v>
      </c>
      <c r="I124">
        <v>602</v>
      </c>
      <c r="J124">
        <v>38.599998474121001</v>
      </c>
      <c r="K124">
        <v>64</v>
      </c>
      <c r="L124">
        <v>35</v>
      </c>
      <c r="M124">
        <v>29</v>
      </c>
      <c r="N124">
        <v>4.9380002021789497</v>
      </c>
      <c r="O124" s="1">
        <v>6550188</v>
      </c>
      <c r="P124">
        <v>2</v>
      </c>
      <c r="Q124">
        <v>66</v>
      </c>
      <c r="R124">
        <v>5</v>
      </c>
      <c r="S124" s="2">
        <v>18127038.627</v>
      </c>
      <c r="T124" s="2">
        <v>16357081.545</v>
      </c>
      <c r="U124" s="2">
        <v>1769957.0819999999</v>
      </c>
      <c r="V124" s="2">
        <v>1139055.794</v>
      </c>
      <c r="W124">
        <v>65.370002746582003</v>
      </c>
      <c r="X124">
        <v>7.7399997711181596</v>
      </c>
      <c r="Y124">
        <v>0.66000002622604304</v>
      </c>
      <c r="Z124">
        <v>26.2299995422363</v>
      </c>
      <c r="AA124">
        <v>2.63000011444091</v>
      </c>
      <c r="AB124">
        <v>1</v>
      </c>
      <c r="AC124">
        <f>AVERAGE(AC120:AC121)</f>
        <v>3.5</v>
      </c>
      <c r="AD124">
        <v>473</v>
      </c>
      <c r="AE124">
        <v>1</v>
      </c>
      <c r="AF124">
        <v>6</v>
      </c>
      <c r="AG124">
        <v>100</v>
      </c>
      <c r="AH124">
        <v>0</v>
      </c>
      <c r="AI124">
        <v>0</v>
      </c>
      <c r="AJ124">
        <v>33886304</v>
      </c>
      <c r="AK124">
        <v>3393191</v>
      </c>
      <c r="AL124">
        <v>4766187</v>
      </c>
      <c r="AM124">
        <v>24754308</v>
      </c>
      <c r="AN124">
        <v>23969068</v>
      </c>
      <c r="AO124">
        <v>948</v>
      </c>
      <c r="AP124">
        <v>14.63</v>
      </c>
      <c r="AQ124">
        <v>1</v>
      </c>
      <c r="AR124">
        <f t="shared" si="1"/>
        <v>34916.467800297738</v>
      </c>
    </row>
    <row r="125" spans="1:44" x14ac:dyDescent="0.3">
      <c r="A125">
        <v>2013</v>
      </c>
      <c r="B125" t="s">
        <v>54</v>
      </c>
      <c r="C125">
        <v>316</v>
      </c>
      <c r="D125">
        <v>0.42899999022483798</v>
      </c>
      <c r="E125">
        <v>1.11699998378753</v>
      </c>
      <c r="F125">
        <v>633</v>
      </c>
      <c r="G125">
        <v>479</v>
      </c>
      <c r="H125">
        <v>154</v>
      </c>
      <c r="I125">
        <v>631</v>
      </c>
      <c r="J125">
        <v>38.549999237060497</v>
      </c>
      <c r="K125">
        <v>63</v>
      </c>
      <c r="L125">
        <v>35</v>
      </c>
      <c r="M125">
        <v>28</v>
      </c>
      <c r="N125">
        <v>5.0159997940063397</v>
      </c>
      <c r="O125" s="1">
        <v>6809587</v>
      </c>
      <c r="P125">
        <v>2</v>
      </c>
      <c r="Q125">
        <f>AVERAGE(Q120:Q124)</f>
        <v>45.2</v>
      </c>
      <c r="R125">
        <v>5</v>
      </c>
      <c r="S125" s="2">
        <v>19298354.521000002</v>
      </c>
      <c r="T125" s="2">
        <v>16873517.456999999</v>
      </c>
      <c r="U125" s="2">
        <v>2424837.0639999998</v>
      </c>
      <c r="V125" s="2">
        <v>1123856.7590000001</v>
      </c>
      <c r="W125">
        <v>77.839996337890597</v>
      </c>
      <c r="X125">
        <v>7.92000007629394</v>
      </c>
      <c r="Y125">
        <v>0.75</v>
      </c>
      <c r="Z125">
        <v>13.4899997711181</v>
      </c>
      <c r="AA125">
        <v>1.91999995708465</v>
      </c>
      <c r="AB125">
        <v>1</v>
      </c>
      <c r="AC125">
        <v>6</v>
      </c>
      <c r="AD125">
        <v>474</v>
      </c>
      <c r="AE125">
        <v>1</v>
      </c>
      <c r="AF125">
        <v>6</v>
      </c>
      <c r="AG125">
        <v>100</v>
      </c>
      <c r="AH125">
        <v>0</v>
      </c>
      <c r="AI125">
        <v>0</v>
      </c>
      <c r="AJ125">
        <v>33148632</v>
      </c>
      <c r="AK125">
        <v>2539087</v>
      </c>
      <c r="AL125">
        <v>4662440</v>
      </c>
      <c r="AM125">
        <v>28354532</v>
      </c>
      <c r="AN125">
        <v>27750364</v>
      </c>
      <c r="AO125">
        <v>3062</v>
      </c>
      <c r="AP125">
        <v>16.09</v>
      </c>
      <c r="AQ125">
        <v>1</v>
      </c>
      <c r="AR125">
        <f t="shared" si="1"/>
        <v>37505.828360432519</v>
      </c>
    </row>
    <row r="126" spans="1:44" ht="13.8" customHeight="1" x14ac:dyDescent="0.3">
      <c r="A126">
        <v>2005</v>
      </c>
      <c r="B126" t="s">
        <v>55</v>
      </c>
      <c r="C126">
        <v>323250</v>
      </c>
      <c r="D126">
        <v>38.195999145507798</v>
      </c>
      <c r="E126">
        <v>4.6609997749328604</v>
      </c>
      <c r="F126">
        <v>100035</v>
      </c>
      <c r="G126">
        <v>83412</v>
      </c>
      <c r="H126">
        <v>16623</v>
      </c>
      <c r="I126">
        <v>94033.3515625</v>
      </c>
      <c r="J126">
        <v>57.900001525878899</v>
      </c>
      <c r="K126">
        <v>8350</v>
      </c>
      <c r="L126">
        <v>5634</v>
      </c>
      <c r="M126">
        <v>2716</v>
      </c>
      <c r="N126">
        <v>38.713001251220703</v>
      </c>
      <c r="O126" s="1">
        <v>4574318</v>
      </c>
      <c r="P126">
        <v>29</v>
      </c>
      <c r="Q126">
        <f>AVERAGE(Q127:Q136)</f>
        <v>8025.7</v>
      </c>
      <c r="R126">
        <f>AVERAGE(R127:R136)</f>
        <v>26.4</v>
      </c>
      <c r="S126" s="2">
        <v>1322308433.5120001</v>
      </c>
      <c r="T126" s="2">
        <v>1264639305.5409999</v>
      </c>
      <c r="U126" s="2">
        <v>57669127.971000001</v>
      </c>
      <c r="V126" s="2">
        <v>43880461.932999998</v>
      </c>
      <c r="W126">
        <v>51.799999237060497</v>
      </c>
      <c r="X126">
        <v>6.4000000953674299</v>
      </c>
      <c r="Y126">
        <v>21.100000381469702</v>
      </c>
      <c r="Z126">
        <v>20.7000007629394</v>
      </c>
      <c r="AA126">
        <v>0.57999998331069902</v>
      </c>
      <c r="AB126">
        <v>3</v>
      </c>
      <c r="AC126">
        <v>5</v>
      </c>
      <c r="AD126">
        <v>56623</v>
      </c>
      <c r="AE126">
        <v>1</v>
      </c>
      <c r="AF126">
        <v>5</v>
      </c>
      <c r="AG126">
        <f>AVERAGE(AG128:AG136)</f>
        <v>99.957778082953553</v>
      </c>
      <c r="AH126">
        <f>AVERAGE(AH128:AH136)</f>
        <v>4.2222223348087666E-2</v>
      </c>
      <c r="AI126">
        <v>0</v>
      </c>
      <c r="AJ126">
        <v>1193616256</v>
      </c>
      <c r="AK126">
        <v>60221464</v>
      </c>
      <c r="AL126">
        <v>58903436</v>
      </c>
      <c r="AM126">
        <v>1604134784</v>
      </c>
      <c r="AN126">
        <v>1455497728</v>
      </c>
      <c r="AO126">
        <v>30485274</v>
      </c>
      <c r="AP126">
        <v>1109.5</v>
      </c>
      <c r="AQ126">
        <v>2</v>
      </c>
      <c r="AR126">
        <f t="shared" si="1"/>
        <v>29047.544895300573</v>
      </c>
    </row>
    <row r="127" spans="1:44" x14ac:dyDescent="0.3">
      <c r="A127">
        <v>2007</v>
      </c>
      <c r="B127" t="s">
        <v>55</v>
      </c>
      <c r="C127">
        <v>323250</v>
      </c>
      <c r="D127">
        <v>38.189998626708899</v>
      </c>
      <c r="E127">
        <v>3.84800004959106</v>
      </c>
      <c r="F127">
        <v>100412</v>
      </c>
      <c r="G127">
        <v>85823</v>
      </c>
      <c r="H127">
        <v>14589</v>
      </c>
      <c r="I127">
        <v>96431.46875</v>
      </c>
      <c r="J127">
        <v>58</v>
      </c>
      <c r="K127">
        <v>8480</v>
      </c>
      <c r="L127">
        <v>5549</v>
      </c>
      <c r="M127">
        <v>2931</v>
      </c>
      <c r="N127">
        <v>38.118999481201101</v>
      </c>
      <c r="O127">
        <v>4503.509765625</v>
      </c>
      <c r="P127">
        <v>5</v>
      </c>
      <c r="Q127">
        <v>8485</v>
      </c>
      <c r="R127">
        <v>52</v>
      </c>
      <c r="S127">
        <v>1703236096</v>
      </c>
      <c r="T127" s="2">
        <v>1682574905.3169999</v>
      </c>
      <c r="U127" s="2">
        <v>20661147.603</v>
      </c>
      <c r="V127" s="2">
        <v>14970035.035</v>
      </c>
      <c r="W127">
        <v>52.099998474121001</v>
      </c>
      <c r="X127">
        <v>6.4000000953674299</v>
      </c>
      <c r="Y127">
        <v>17.5</v>
      </c>
      <c r="Z127">
        <v>24</v>
      </c>
      <c r="AA127">
        <v>0.40000000596046398</v>
      </c>
      <c r="AB127">
        <v>2</v>
      </c>
      <c r="AC127">
        <v>5</v>
      </c>
      <c r="AD127">
        <v>55138</v>
      </c>
      <c r="AE127">
        <v>1</v>
      </c>
      <c r="AF127">
        <v>5</v>
      </c>
      <c r="AG127">
        <f>AVERAGE(AG128:AG136)</f>
        <v>99.957778082953553</v>
      </c>
      <c r="AH127">
        <f>AVERAGE(AH128:AH136)</f>
        <v>4.2222223348087666E-2</v>
      </c>
      <c r="AI127">
        <v>0</v>
      </c>
      <c r="AJ127">
        <v>1238276992</v>
      </c>
      <c r="AK127">
        <v>33948000</v>
      </c>
      <c r="AL127">
        <v>46887000</v>
      </c>
      <c r="AM127">
        <v>1081998080</v>
      </c>
      <c r="AN127">
        <v>889733312</v>
      </c>
      <c r="AO127">
        <v>22480924</v>
      </c>
      <c r="AP127">
        <v>1300.8</v>
      </c>
      <c r="AQ127">
        <v>3</v>
      </c>
      <c r="AR127">
        <f t="shared" si="1"/>
        <v>34061.273809270599</v>
      </c>
    </row>
    <row r="128" spans="1:44" x14ac:dyDescent="0.3">
      <c r="A128">
        <v>2008</v>
      </c>
      <c r="B128" t="s">
        <v>55</v>
      </c>
      <c r="C128">
        <v>323250</v>
      </c>
      <c r="D128">
        <v>38.217998504638601</v>
      </c>
      <c r="E128">
        <v>4.5619997978210396</v>
      </c>
      <c r="F128">
        <v>100986</v>
      </c>
      <c r="G128">
        <v>86249</v>
      </c>
      <c r="H128">
        <v>14737</v>
      </c>
      <c r="I128">
        <v>96981</v>
      </c>
      <c r="J128">
        <v>58.400001525878899</v>
      </c>
      <c r="K128">
        <v>8386</v>
      </c>
      <c r="L128">
        <v>5507</v>
      </c>
      <c r="M128">
        <v>2879</v>
      </c>
      <c r="N128">
        <v>38.546001434326101</v>
      </c>
      <c r="O128" s="1">
        <v>4557413</v>
      </c>
      <c r="P128">
        <v>5</v>
      </c>
      <c r="Q128">
        <v>8391</v>
      </c>
      <c r="R128">
        <v>48</v>
      </c>
      <c r="S128" s="2">
        <v>1492342195.721</v>
      </c>
      <c r="T128" s="2">
        <v>1534654685.5369999</v>
      </c>
      <c r="U128" s="2">
        <v>-42312489.816</v>
      </c>
      <c r="V128" s="2">
        <v>-31614421.947000001</v>
      </c>
      <c r="W128">
        <v>53.299999237060497</v>
      </c>
      <c r="X128">
        <v>6.6999998092651296</v>
      </c>
      <c r="Y128">
        <v>16.399999618530199</v>
      </c>
      <c r="Z128">
        <v>23.600000381469702</v>
      </c>
      <c r="AA128">
        <v>0.30000001192092901</v>
      </c>
      <c r="AB128">
        <v>1</v>
      </c>
      <c r="AC128">
        <v>5</v>
      </c>
      <c r="AD128">
        <v>48463</v>
      </c>
      <c r="AE128">
        <v>1</v>
      </c>
      <c r="AF128">
        <v>5</v>
      </c>
      <c r="AG128">
        <v>99.819999694824205</v>
      </c>
      <c r="AH128">
        <v>0.18000000715255701</v>
      </c>
      <c r="AI128">
        <v>0</v>
      </c>
      <c r="AJ128">
        <v>1228289920</v>
      </c>
      <c r="AK128">
        <v>28480628</v>
      </c>
      <c r="AL128">
        <v>52180536</v>
      </c>
      <c r="AM128">
        <v>672172544</v>
      </c>
      <c r="AN128">
        <v>485835296</v>
      </c>
      <c r="AO128">
        <v>23078200</v>
      </c>
      <c r="AP128">
        <v>1476.4</v>
      </c>
      <c r="AQ128">
        <v>3</v>
      </c>
      <c r="AR128">
        <f t="shared" si="1"/>
        <v>38631.013076752468</v>
      </c>
    </row>
    <row r="129" spans="1:44" x14ac:dyDescent="0.3">
      <c r="A129">
        <v>2009</v>
      </c>
      <c r="B129" t="s">
        <v>55</v>
      </c>
      <c r="C129">
        <v>323250</v>
      </c>
      <c r="D129">
        <v>38.249000549316399</v>
      </c>
      <c r="E129">
        <v>4.4679999351501403</v>
      </c>
      <c r="F129">
        <v>98770</v>
      </c>
      <c r="G129">
        <v>83660</v>
      </c>
      <c r="H129">
        <v>15110</v>
      </c>
      <c r="I129">
        <v>94620</v>
      </c>
      <c r="J129">
        <v>58.400001525878899</v>
      </c>
      <c r="K129">
        <v>8336</v>
      </c>
      <c r="L129">
        <v>5308</v>
      </c>
      <c r="M129">
        <v>3028</v>
      </c>
      <c r="N129">
        <v>38.777999877929602</v>
      </c>
      <c r="O129" s="1">
        <v>4588439</v>
      </c>
      <c r="P129">
        <v>14</v>
      </c>
      <c r="Q129">
        <v>8350</v>
      </c>
      <c r="R129">
        <v>14</v>
      </c>
      <c r="S129" s="2">
        <v>1423662652.681</v>
      </c>
      <c r="T129" s="2">
        <v>1467455906.747</v>
      </c>
      <c r="U129" s="2">
        <v>-43793254.066</v>
      </c>
      <c r="V129" s="2">
        <v>-39728771.652000003</v>
      </c>
      <c r="W129">
        <v>55.700000762939403</v>
      </c>
      <c r="X129">
        <v>10.300000190734799</v>
      </c>
      <c r="Y129">
        <v>16.7000007629394</v>
      </c>
      <c r="Z129">
        <v>17.399999618530199</v>
      </c>
      <c r="AA129">
        <v>0.40000000596046398</v>
      </c>
      <c r="AB129">
        <v>1</v>
      </c>
      <c r="AC129">
        <v>1</v>
      </c>
      <c r="AD129">
        <v>47590</v>
      </c>
      <c r="AE129">
        <v>1</v>
      </c>
      <c r="AF129">
        <v>1</v>
      </c>
      <c r="AG129">
        <v>99.800003051757798</v>
      </c>
      <c r="AH129">
        <v>0.20000000298023199</v>
      </c>
      <c r="AI129">
        <v>0</v>
      </c>
      <c r="AJ129">
        <v>1199840768</v>
      </c>
      <c r="AK129">
        <v>29262116</v>
      </c>
      <c r="AL129">
        <v>52750624</v>
      </c>
      <c r="AM129">
        <v>475748288</v>
      </c>
      <c r="AN129">
        <v>321871840</v>
      </c>
      <c r="AO129">
        <v>20629976</v>
      </c>
      <c r="AP129">
        <v>1239.2</v>
      </c>
      <c r="AQ129">
        <v>4</v>
      </c>
      <c r="AR129">
        <f t="shared" si="1"/>
        <v>32398.232168242826</v>
      </c>
    </row>
    <row r="130" spans="1:44" x14ac:dyDescent="0.3">
      <c r="A130">
        <v>2010</v>
      </c>
      <c r="B130" t="s">
        <v>55</v>
      </c>
      <c r="C130">
        <v>323250</v>
      </c>
      <c r="D130">
        <v>38.277000427246001</v>
      </c>
      <c r="E130">
        <v>4.61700010299682</v>
      </c>
      <c r="F130">
        <v>98087</v>
      </c>
      <c r="G130">
        <v>82676</v>
      </c>
      <c r="H130">
        <v>15411</v>
      </c>
      <c r="I130">
        <v>94332</v>
      </c>
      <c r="J130">
        <v>57.330001831054602</v>
      </c>
      <c r="K130">
        <v>8369</v>
      </c>
      <c r="L130">
        <v>5170</v>
      </c>
      <c r="M130">
        <v>3199</v>
      </c>
      <c r="N130">
        <v>38.625</v>
      </c>
      <c r="O130" s="1">
        <v>4573624</v>
      </c>
      <c r="P130">
        <v>14</v>
      </c>
      <c r="Q130">
        <v>8383</v>
      </c>
      <c r="R130">
        <v>43</v>
      </c>
      <c r="S130" s="2">
        <v>1331103017.477</v>
      </c>
      <c r="T130" s="2">
        <v>1328015181.4760001</v>
      </c>
      <c r="U130" s="2">
        <v>3087836.0010000002</v>
      </c>
      <c r="V130" s="2">
        <v>11294837.708000001</v>
      </c>
      <c r="W130">
        <v>56.799999237060497</v>
      </c>
      <c r="X130">
        <v>10.199999809265099</v>
      </c>
      <c r="Y130">
        <v>15.300000190734799</v>
      </c>
      <c r="Z130">
        <v>17.7000007629394</v>
      </c>
      <c r="AA130">
        <v>0.5</v>
      </c>
      <c r="AB130">
        <v>1</v>
      </c>
      <c r="AC130">
        <v>1</v>
      </c>
      <c r="AD130">
        <v>43780</v>
      </c>
      <c r="AE130">
        <v>1</v>
      </c>
      <c r="AF130">
        <v>1</v>
      </c>
      <c r="AG130">
        <v>100</v>
      </c>
      <c r="AH130">
        <v>0</v>
      </c>
      <c r="AI130">
        <v>0</v>
      </c>
      <c r="AJ130">
        <v>926506432</v>
      </c>
      <c r="AK130">
        <v>27314366</v>
      </c>
      <c r="AL130">
        <v>56736360</v>
      </c>
      <c r="AM130">
        <v>395835744</v>
      </c>
      <c r="AN130">
        <v>251991152</v>
      </c>
      <c r="AO130">
        <v>17909668</v>
      </c>
      <c r="AP130">
        <v>1307</v>
      </c>
      <c r="AQ130">
        <v>4</v>
      </c>
      <c r="AR130">
        <f t="shared" si="1"/>
        <v>34145.831319364894</v>
      </c>
    </row>
    <row r="131" spans="1:44" x14ac:dyDescent="0.3">
      <c r="A131">
        <v>2011</v>
      </c>
      <c r="B131" t="s">
        <v>55</v>
      </c>
      <c r="C131">
        <v>323250</v>
      </c>
      <c r="D131">
        <v>38.298999786376903</v>
      </c>
      <c r="E131">
        <v>5.2470002174377397</v>
      </c>
      <c r="F131">
        <v>94082</v>
      </c>
      <c r="G131">
        <v>77548</v>
      </c>
      <c r="H131">
        <v>16534</v>
      </c>
      <c r="I131">
        <f>AVERAGE(I126:I130,I132:I136)</f>
        <v>87175.382031250003</v>
      </c>
      <c r="J131">
        <v>57</v>
      </c>
      <c r="K131">
        <v>8207</v>
      </c>
      <c r="L131">
        <v>4774</v>
      </c>
      <c r="M131">
        <v>3433</v>
      </c>
      <c r="N131">
        <v>39.387001037597599</v>
      </c>
      <c r="O131">
        <v>4666.6201171875</v>
      </c>
      <c r="P131">
        <v>26</v>
      </c>
      <c r="Q131">
        <v>8233</v>
      </c>
      <c r="R131">
        <v>29</v>
      </c>
      <c r="S131" s="2">
        <v>1152241727.132</v>
      </c>
      <c r="T131" s="2">
        <v>1133232133.911</v>
      </c>
      <c r="U131" s="2">
        <v>19009593.221000001</v>
      </c>
      <c r="V131" s="2">
        <v>23052063.965999998</v>
      </c>
      <c r="W131">
        <v>57.400001525878899</v>
      </c>
      <c r="X131">
        <v>10</v>
      </c>
      <c r="Y131">
        <v>14.699999809265099</v>
      </c>
      <c r="Z131">
        <v>18</v>
      </c>
      <c r="AA131">
        <v>0.60000002384185702</v>
      </c>
      <c r="AB131">
        <v>1</v>
      </c>
      <c r="AC131">
        <v>5</v>
      </c>
      <c r="AD131">
        <v>40374</v>
      </c>
      <c r="AE131">
        <v>1</v>
      </c>
      <c r="AF131">
        <v>5</v>
      </c>
      <c r="AG131">
        <v>100</v>
      </c>
      <c r="AH131">
        <v>0</v>
      </c>
      <c r="AI131">
        <v>0</v>
      </c>
      <c r="AJ131">
        <v>822176000</v>
      </c>
      <c r="AK131">
        <v>27763198</v>
      </c>
      <c r="AL131">
        <v>61740200</v>
      </c>
      <c r="AM131">
        <v>133296912</v>
      </c>
      <c r="AN131">
        <f>AVERAGE(AN126:AN130,AN132:AN136)</f>
        <v>481549046.39999998</v>
      </c>
      <c r="AO131">
        <v>18682912</v>
      </c>
      <c r="AP131">
        <v>1255.5</v>
      </c>
      <c r="AQ131">
        <v>0</v>
      </c>
      <c r="AR131">
        <f t="shared" ref="AR131:AR169" si="2">(AP131/D131)*1000</f>
        <v>32781.534948768713</v>
      </c>
    </row>
    <row r="132" spans="1:44" x14ac:dyDescent="0.3">
      <c r="A132">
        <v>2012</v>
      </c>
      <c r="B132" t="s">
        <v>55</v>
      </c>
      <c r="C132">
        <v>323250</v>
      </c>
      <c r="D132">
        <v>38.317001342773402</v>
      </c>
      <c r="E132">
        <v>4.7639999389648402</v>
      </c>
      <c r="F132">
        <v>91373</v>
      </c>
      <c r="G132">
        <v>74153</v>
      </c>
      <c r="H132">
        <v>17220</v>
      </c>
      <c r="I132">
        <v>87457</v>
      </c>
      <c r="J132">
        <v>56.270000457763601</v>
      </c>
      <c r="K132">
        <v>8446</v>
      </c>
      <c r="L132">
        <v>4745</v>
      </c>
      <c r="M132">
        <v>3701</v>
      </c>
      <c r="N132">
        <v>38.272998809814403</v>
      </c>
      <c r="O132" s="1">
        <v>4536714</v>
      </c>
      <c r="P132">
        <v>17</v>
      </c>
      <c r="Q132">
        <v>8243</v>
      </c>
      <c r="R132">
        <v>28</v>
      </c>
      <c r="S132" s="2">
        <v>1248784727.7620001</v>
      </c>
      <c r="T132" s="2">
        <v>1239752439.2590001</v>
      </c>
      <c r="U132" s="2">
        <v>9032288.5030000005</v>
      </c>
      <c r="V132" s="2">
        <v>18638847.019000001</v>
      </c>
      <c r="W132">
        <v>58.200000762939403</v>
      </c>
      <c r="X132">
        <v>10.199999809265099</v>
      </c>
      <c r="Y132">
        <v>13.899999618530201</v>
      </c>
      <c r="Z132">
        <v>17.7000007629394</v>
      </c>
      <c r="AA132">
        <v>0.69999998807907104</v>
      </c>
      <c r="AB132">
        <v>1</v>
      </c>
      <c r="AC132">
        <v>5</v>
      </c>
      <c r="AD132">
        <v>35699</v>
      </c>
      <c r="AE132">
        <v>1</v>
      </c>
      <c r="AF132">
        <v>5</v>
      </c>
      <c r="AG132">
        <v>100</v>
      </c>
      <c r="AH132">
        <v>0</v>
      </c>
      <c r="AI132">
        <v>0</v>
      </c>
      <c r="AJ132">
        <v>1453953280</v>
      </c>
      <c r="AK132">
        <v>34058280</v>
      </c>
      <c r="AL132">
        <v>49297380</v>
      </c>
      <c r="AM132">
        <v>406065760</v>
      </c>
      <c r="AN132">
        <v>284345600</v>
      </c>
      <c r="AO132">
        <v>18135182</v>
      </c>
      <c r="AP132">
        <v>953.8</v>
      </c>
      <c r="AQ132">
        <v>0</v>
      </c>
      <c r="AR132">
        <f t="shared" si="2"/>
        <v>24892.344561819082</v>
      </c>
    </row>
    <row r="133" spans="1:44" x14ac:dyDescent="0.3">
      <c r="A133">
        <v>2013</v>
      </c>
      <c r="B133" t="s">
        <v>55</v>
      </c>
      <c r="C133">
        <v>323250</v>
      </c>
      <c r="D133">
        <v>38.216999053955</v>
      </c>
      <c r="E133">
        <v>4.63800001144409</v>
      </c>
      <c r="F133">
        <v>86629</v>
      </c>
      <c r="G133">
        <v>69995</v>
      </c>
      <c r="H133">
        <v>16634</v>
      </c>
      <c r="I133">
        <v>82633</v>
      </c>
      <c r="J133">
        <v>56.159999847412102</v>
      </c>
      <c r="K133">
        <v>7873</v>
      </c>
      <c r="L133">
        <v>4678</v>
      </c>
      <c r="M133">
        <v>3195</v>
      </c>
      <c r="N133">
        <v>41.057998657226499</v>
      </c>
      <c r="O133" s="1">
        <v>4854139</v>
      </c>
      <c r="P133">
        <v>1</v>
      </c>
      <c r="Q133">
        <v>7871</v>
      </c>
      <c r="R133">
        <v>13</v>
      </c>
      <c r="S133" s="2">
        <v>1251226603.803</v>
      </c>
      <c r="T133">
        <v>1247088000</v>
      </c>
      <c r="U133" s="2">
        <v>4138586.8130000001</v>
      </c>
      <c r="V133" s="2">
        <v>7968463.5379999997</v>
      </c>
      <c r="W133">
        <v>58.5</v>
      </c>
      <c r="X133">
        <v>10.199999809265099</v>
      </c>
      <c r="Y133">
        <v>13.800000190734799</v>
      </c>
      <c r="Z133">
        <v>17.5</v>
      </c>
      <c r="AA133">
        <f>AVERAGE(AA126:AA132,AA134:AA136)</f>
        <v>0.52800000309944128</v>
      </c>
      <c r="AB133">
        <v>1</v>
      </c>
      <c r="AC133">
        <v>5</v>
      </c>
      <c r="AD133">
        <v>32825</v>
      </c>
      <c r="AE133">
        <v>1</v>
      </c>
      <c r="AF133">
        <v>5</v>
      </c>
      <c r="AG133">
        <v>100</v>
      </c>
      <c r="AH133">
        <v>0</v>
      </c>
      <c r="AI133">
        <v>0</v>
      </c>
      <c r="AJ133">
        <v>875000000</v>
      </c>
      <c r="AK133">
        <v>25509210</v>
      </c>
      <c r="AL133">
        <v>46087976</v>
      </c>
      <c r="AM133">
        <v>459363680</v>
      </c>
      <c r="AN133">
        <v>295720064</v>
      </c>
      <c r="AO133">
        <v>38218136</v>
      </c>
      <c r="AP133">
        <v>1035.3599999999999</v>
      </c>
      <c r="AQ133">
        <v>1</v>
      </c>
      <c r="AR133">
        <f t="shared" si="2"/>
        <v>27091.609117143711</v>
      </c>
    </row>
    <row r="134" spans="1:44" x14ac:dyDescent="0.3">
      <c r="A134">
        <v>2014</v>
      </c>
      <c r="B134" t="s">
        <v>55</v>
      </c>
      <c r="C134">
        <v>323250</v>
      </c>
      <c r="D134">
        <v>38.076999664306598</v>
      </c>
      <c r="E134">
        <v>5.0809998512268004</v>
      </c>
      <c r="F134">
        <v>81985</v>
      </c>
      <c r="G134">
        <v>67759</v>
      </c>
      <c r="H134">
        <v>14226</v>
      </c>
      <c r="I134">
        <v>75598</v>
      </c>
      <c r="J134">
        <v>55.799999237060497</v>
      </c>
      <c r="K134">
        <v>7527</v>
      </c>
      <c r="L134">
        <v>4652</v>
      </c>
      <c r="M134">
        <v>2875</v>
      </c>
      <c r="N134">
        <v>42.944999694824197</v>
      </c>
      <c r="O134" s="1">
        <v>5058666</v>
      </c>
      <c r="P134">
        <v>0</v>
      </c>
      <c r="Q134">
        <v>7527</v>
      </c>
      <c r="R134">
        <v>13</v>
      </c>
      <c r="S134" s="2">
        <v>1096328019.595</v>
      </c>
      <c r="T134" s="2">
        <v>1090107910.648</v>
      </c>
      <c r="U134" s="2">
        <v>6220108.9469999997</v>
      </c>
      <c r="V134" s="2">
        <v>10782579.744000001</v>
      </c>
      <c r="W134">
        <v>57.700000762939403</v>
      </c>
      <c r="X134">
        <v>11.300000190734799</v>
      </c>
      <c r="Y134">
        <v>14.5</v>
      </c>
      <c r="Z134">
        <v>16.5</v>
      </c>
      <c r="AA134">
        <v>0.69999998807907104</v>
      </c>
      <c r="AB134">
        <v>1</v>
      </c>
      <c r="AC134">
        <v>5</v>
      </c>
      <c r="AD134">
        <v>28621</v>
      </c>
      <c r="AE134">
        <v>1</v>
      </c>
      <c r="AF134">
        <v>5</v>
      </c>
      <c r="AG134">
        <v>100</v>
      </c>
      <c r="AH134">
        <v>0</v>
      </c>
      <c r="AI134">
        <v>0</v>
      </c>
      <c r="AJ134">
        <v>1591500544</v>
      </c>
      <c r="AK134">
        <v>26637328</v>
      </c>
      <c r="AL134">
        <v>55661384</v>
      </c>
      <c r="AM134">
        <v>452118784</v>
      </c>
      <c r="AN134">
        <v>247640080</v>
      </c>
      <c r="AO134">
        <f>AVERAGE(AO126:AO133,AO135:AO136)</f>
        <v>23169354.399999999</v>
      </c>
      <c r="AP134">
        <v>956.08</v>
      </c>
      <c r="AQ134">
        <v>1</v>
      </c>
      <c r="AR134">
        <f t="shared" si="2"/>
        <v>25109.121213041111</v>
      </c>
    </row>
    <row r="135" spans="1:44" x14ac:dyDescent="0.3">
      <c r="A135">
        <v>2015</v>
      </c>
      <c r="B135" t="s">
        <v>55</v>
      </c>
      <c r="C135">
        <v>323250</v>
      </c>
      <c r="D135">
        <v>38.6119995117187</v>
      </c>
      <c r="E135">
        <v>5.4699997901916504</v>
      </c>
      <c r="F135">
        <v>76890</v>
      </c>
      <c r="G135">
        <v>64959</v>
      </c>
      <c r="H135">
        <v>11931</v>
      </c>
      <c r="I135">
        <v>74011</v>
      </c>
      <c r="J135">
        <v>55.490001678466697</v>
      </c>
      <c r="K135">
        <v>7375</v>
      </c>
      <c r="L135">
        <v>4659</v>
      </c>
      <c r="M135">
        <v>2716</v>
      </c>
      <c r="N135">
        <v>43.831001281738203</v>
      </c>
      <c r="O135" s="1">
        <v>5235497</v>
      </c>
      <c r="P135">
        <v>3344</v>
      </c>
      <c r="Q135">
        <v>7387</v>
      </c>
      <c r="R135">
        <v>12</v>
      </c>
      <c r="S135" s="2">
        <v>981836367.09300005</v>
      </c>
      <c r="T135" s="2">
        <v>983243425.046</v>
      </c>
      <c r="U135" s="2">
        <v>-1407057.953</v>
      </c>
      <c r="V135" s="2">
        <v>3361053.7480000001</v>
      </c>
      <c r="W135">
        <v>53.5</v>
      </c>
      <c r="X135">
        <v>13.1000003814697</v>
      </c>
      <c r="Y135">
        <v>15.300000190734799</v>
      </c>
      <c r="Z135">
        <v>18</v>
      </c>
      <c r="AA135">
        <v>0.80000001192092796</v>
      </c>
      <c r="AB135">
        <v>1</v>
      </c>
      <c r="AC135">
        <v>5</v>
      </c>
      <c r="AD135">
        <v>22838</v>
      </c>
      <c r="AE135">
        <v>1</v>
      </c>
      <c r="AF135">
        <v>5</v>
      </c>
      <c r="AG135">
        <v>100</v>
      </c>
      <c r="AH135">
        <v>0</v>
      </c>
      <c r="AI135">
        <v>0</v>
      </c>
      <c r="AJ135">
        <v>1032176000</v>
      </c>
      <c r="AK135">
        <v>31597888</v>
      </c>
      <c r="AL135">
        <v>61128652</v>
      </c>
      <c r="AM135">
        <v>514194080</v>
      </c>
      <c r="AN135">
        <v>278953152</v>
      </c>
      <c r="AO135">
        <v>21266532</v>
      </c>
      <c r="AP135">
        <v>921.28</v>
      </c>
      <c r="AQ135">
        <v>1</v>
      </c>
      <c r="AR135">
        <f t="shared" si="2"/>
        <v>23859.940216781379</v>
      </c>
    </row>
    <row r="136" spans="1:44" x14ac:dyDescent="0.3">
      <c r="A136">
        <v>2016</v>
      </c>
      <c r="B136" t="s">
        <v>55</v>
      </c>
      <c r="C136">
        <v>323250</v>
      </c>
      <c r="D136">
        <v>38.2239990234375</v>
      </c>
      <c r="E136">
        <v>5.6199998855590803</v>
      </c>
      <c r="F136">
        <v>77993</v>
      </c>
      <c r="G136">
        <v>68444</v>
      </c>
      <c r="H136">
        <v>9549</v>
      </c>
      <c r="I136">
        <v>75657</v>
      </c>
      <c r="J136">
        <v>55.619998931884702</v>
      </c>
      <c r="K136">
        <v>7490</v>
      </c>
      <c r="L136">
        <v>4675</v>
      </c>
      <c r="M136">
        <v>2815</v>
      </c>
      <c r="N136">
        <v>43.158000946044901</v>
      </c>
      <c r="O136" s="1">
        <v>5103393</v>
      </c>
      <c r="P136">
        <v>3344</v>
      </c>
      <c r="Q136">
        <v>7387</v>
      </c>
      <c r="R136">
        <v>12</v>
      </c>
      <c r="S136" s="2">
        <v>961294473.66499996</v>
      </c>
      <c r="T136" s="2">
        <v>974513424.37699997</v>
      </c>
      <c r="U136" s="2">
        <v>-13218950.711999999</v>
      </c>
      <c r="V136" s="2">
        <v>-12657054.804</v>
      </c>
      <c r="W136">
        <v>53.900001525878899</v>
      </c>
      <c r="X136">
        <v>14</v>
      </c>
      <c r="Y136">
        <v>15.6000003814697</v>
      </c>
      <c r="Z136">
        <v>16.600000381469702</v>
      </c>
      <c r="AA136">
        <v>0.30000001192092901</v>
      </c>
      <c r="AB136">
        <v>1</v>
      </c>
      <c r="AC136">
        <v>5</v>
      </c>
      <c r="AD136">
        <v>22838</v>
      </c>
      <c r="AE136">
        <v>1</v>
      </c>
      <c r="AF136">
        <v>5</v>
      </c>
      <c r="AG136">
        <v>100</v>
      </c>
      <c r="AH136">
        <v>0</v>
      </c>
      <c r="AI136">
        <v>0</v>
      </c>
      <c r="AJ136">
        <v>1664022528</v>
      </c>
      <c r="AK136">
        <v>32886100</v>
      </c>
      <c r="AL136">
        <v>54314640</v>
      </c>
      <c r="AM136">
        <v>473119520</v>
      </c>
      <c r="AN136">
        <v>303902240</v>
      </c>
      <c r="AO136">
        <v>20806740</v>
      </c>
      <c r="AP136">
        <v>823.72</v>
      </c>
      <c r="AQ136">
        <v>2</v>
      </c>
      <c r="AR136">
        <f t="shared" si="2"/>
        <v>21549.812187231542</v>
      </c>
    </row>
    <row r="137" spans="1:44" x14ac:dyDescent="0.3">
      <c r="A137">
        <v>2004</v>
      </c>
      <c r="B137" t="s">
        <v>56</v>
      </c>
      <c r="C137">
        <v>91982</v>
      </c>
      <c r="D137">
        <v>10.4720001220703</v>
      </c>
      <c r="E137">
        <v>1.1399999856948799</v>
      </c>
      <c r="F137">
        <v>14622</v>
      </c>
      <c r="G137">
        <v>14089</v>
      </c>
      <c r="H137">
        <v>533</v>
      </c>
      <c r="I137">
        <v>14356</v>
      </c>
      <c r="J137">
        <v>33</v>
      </c>
      <c r="K137">
        <v>3026</v>
      </c>
      <c r="L137">
        <v>994</v>
      </c>
      <c r="M137">
        <v>2032</v>
      </c>
      <c r="N137">
        <v>30.396999359130799</v>
      </c>
      <c r="O137" s="1">
        <v>3460537</v>
      </c>
      <c r="P137">
        <v>15</v>
      </c>
      <c r="Q137">
        <v>3035</v>
      </c>
      <c r="R137">
        <v>9</v>
      </c>
      <c r="S137" s="2">
        <v>567123912.43299997</v>
      </c>
      <c r="T137" s="2">
        <v>525932325.28799999</v>
      </c>
      <c r="U137" s="2">
        <v>41191587.145000003</v>
      </c>
      <c r="V137" s="2">
        <v>43952603.142999999</v>
      </c>
      <c r="W137">
        <v>80.900001525878906</v>
      </c>
      <c r="X137">
        <v>3.20000004768371</v>
      </c>
      <c r="Y137">
        <v>6.9000000953674299</v>
      </c>
      <c r="Z137">
        <v>9</v>
      </c>
      <c r="AA137">
        <v>1.79999995231628</v>
      </c>
      <c r="AB137">
        <v>1</v>
      </c>
      <c r="AC137">
        <v>5</v>
      </c>
      <c r="AD137">
        <v>18531</v>
      </c>
      <c r="AE137">
        <v>1</v>
      </c>
      <c r="AF137">
        <v>5</v>
      </c>
      <c r="AG137">
        <v>99.900001525878906</v>
      </c>
      <c r="AH137">
        <v>0.10000000149011599</v>
      </c>
      <c r="AI137">
        <v>0</v>
      </c>
      <c r="AJ137">
        <v>999027968</v>
      </c>
      <c r="AK137">
        <v>55135200</v>
      </c>
      <c r="AL137">
        <v>45761000</v>
      </c>
      <c r="AM137">
        <v>678441024</v>
      </c>
      <c r="AN137">
        <v>477712000</v>
      </c>
      <c r="AO137">
        <v>9654852</v>
      </c>
      <c r="AP137">
        <v>607.5</v>
      </c>
      <c r="AQ137">
        <v>2</v>
      </c>
      <c r="AR137">
        <f t="shared" si="2"/>
        <v>58011.840423842368</v>
      </c>
    </row>
    <row r="138" spans="1:44" x14ac:dyDescent="0.3">
      <c r="A138">
        <v>2005</v>
      </c>
      <c r="B138" t="s">
        <v>56</v>
      </c>
      <c r="C138">
        <v>91982</v>
      </c>
      <c r="D138">
        <v>10.5279998779296</v>
      </c>
      <c r="E138">
        <v>1.2120000123977599</v>
      </c>
      <c r="F138">
        <v>14160</v>
      </c>
      <c r="G138">
        <v>13715</v>
      </c>
      <c r="H138">
        <v>445</v>
      </c>
      <c r="I138">
        <v>13938</v>
      </c>
      <c r="J138">
        <v>33</v>
      </c>
      <c r="K138">
        <v>2889</v>
      </c>
      <c r="L138">
        <v>972</v>
      </c>
      <c r="M138">
        <v>1917</v>
      </c>
      <c r="N138">
        <v>31.839000701904201</v>
      </c>
      <c r="O138" s="1">
        <v>3644246</v>
      </c>
      <c r="P138">
        <v>13</v>
      </c>
      <c r="Q138">
        <v>2897</v>
      </c>
      <c r="R138">
        <v>9</v>
      </c>
      <c r="S138" s="2">
        <v>541018529.98199999</v>
      </c>
      <c r="T138" s="2">
        <v>539819239.81700003</v>
      </c>
      <c r="U138" s="2">
        <v>1199290.165</v>
      </c>
      <c r="V138" s="2">
        <v>14313895.423</v>
      </c>
      <c r="W138">
        <v>81.5</v>
      </c>
      <c r="X138">
        <v>3</v>
      </c>
      <c r="Y138">
        <v>6.5999999046325604</v>
      </c>
      <c r="Z138">
        <v>8.8999996185302699</v>
      </c>
      <c r="AA138">
        <v>1.70000004768371</v>
      </c>
      <c r="AB138">
        <v>1</v>
      </c>
      <c r="AC138">
        <v>5</v>
      </c>
      <c r="AD138">
        <v>18232</v>
      </c>
      <c r="AE138">
        <v>1</v>
      </c>
      <c r="AF138">
        <v>5</v>
      </c>
      <c r="AG138">
        <v>99.959999084472599</v>
      </c>
      <c r="AH138">
        <v>3.9999999105930301E-2</v>
      </c>
      <c r="AI138">
        <v>0</v>
      </c>
      <c r="AJ138">
        <v>1010386880</v>
      </c>
      <c r="AK138">
        <v>53514300</v>
      </c>
      <c r="AL138">
        <v>43244100</v>
      </c>
      <c r="AM138">
        <v>722950016</v>
      </c>
      <c r="AN138">
        <v>529976000</v>
      </c>
      <c r="AO138">
        <v>8648568</v>
      </c>
      <c r="AP138">
        <v>619.70000000000005</v>
      </c>
      <c r="AQ138">
        <v>2</v>
      </c>
      <c r="AR138">
        <f t="shared" si="2"/>
        <v>58862.082749365312</v>
      </c>
    </row>
    <row r="139" spans="1:44" x14ac:dyDescent="0.3">
      <c r="A139">
        <v>2006</v>
      </c>
      <c r="B139" t="s">
        <v>56</v>
      </c>
      <c r="C139">
        <v>91982</v>
      </c>
      <c r="D139">
        <v>10.579000473022401</v>
      </c>
      <c r="E139">
        <v>1.1419999599456701</v>
      </c>
      <c r="F139">
        <v>13821</v>
      </c>
      <c r="G139">
        <v>13406</v>
      </c>
      <c r="H139">
        <v>415</v>
      </c>
      <c r="I139">
        <v>13614</v>
      </c>
      <c r="J139">
        <v>33</v>
      </c>
      <c r="K139">
        <v>2855</v>
      </c>
      <c r="L139">
        <v>952</v>
      </c>
      <c r="M139">
        <v>1903</v>
      </c>
      <c r="N139">
        <v>32.217998504638601</v>
      </c>
      <c r="O139">
        <v>3705.31005859375</v>
      </c>
      <c r="P139">
        <v>12</v>
      </c>
      <c r="Q139">
        <v>2865</v>
      </c>
      <c r="R139">
        <v>9</v>
      </c>
      <c r="S139">
        <v>572079168</v>
      </c>
      <c r="T139" s="2">
        <v>552684058.47899997</v>
      </c>
      <c r="U139" s="2">
        <v>19395080.101</v>
      </c>
      <c r="V139" s="2">
        <v>58587061.192000002</v>
      </c>
      <c r="W139">
        <v>83</v>
      </c>
      <c r="X139">
        <v>3</v>
      </c>
      <c r="Y139">
        <v>6</v>
      </c>
      <c r="Z139">
        <v>8</v>
      </c>
      <c r="AA139">
        <v>1.5</v>
      </c>
      <c r="AB139">
        <v>1</v>
      </c>
      <c r="AC139">
        <v>5</v>
      </c>
      <c r="AD139">
        <v>18082</v>
      </c>
      <c r="AE139">
        <v>1</v>
      </c>
      <c r="AF139">
        <v>5</v>
      </c>
      <c r="AG139">
        <v>99.949996948242102</v>
      </c>
      <c r="AH139">
        <v>5.0000000745058101E-2</v>
      </c>
      <c r="AI139">
        <v>0</v>
      </c>
      <c r="AJ139">
        <v>971709888</v>
      </c>
      <c r="AK139">
        <v>50558200</v>
      </c>
      <c r="AL139">
        <v>41116700</v>
      </c>
      <c r="AM139">
        <v>717164928</v>
      </c>
      <c r="AN139">
        <v>541381056</v>
      </c>
      <c r="AO139">
        <v>4901517</v>
      </c>
      <c r="AP139">
        <v>621.6</v>
      </c>
      <c r="AQ139">
        <v>3</v>
      </c>
      <c r="AR139">
        <f t="shared" si="2"/>
        <v>58757.914000018005</v>
      </c>
    </row>
    <row r="140" spans="1:44" x14ac:dyDescent="0.3">
      <c r="A140">
        <v>2007</v>
      </c>
      <c r="B140" t="s">
        <v>56</v>
      </c>
      <c r="C140">
        <v>91982</v>
      </c>
      <c r="D140">
        <v>10.6079998016357</v>
      </c>
      <c r="E140">
        <v>1.0740000009536701</v>
      </c>
      <c r="F140">
        <v>13426</v>
      </c>
      <c r="G140">
        <v>13087</v>
      </c>
      <c r="H140">
        <v>339</v>
      </c>
      <c r="I140">
        <v>13257</v>
      </c>
      <c r="J140">
        <v>34</v>
      </c>
      <c r="K140">
        <v>2846</v>
      </c>
      <c r="L140">
        <v>917</v>
      </c>
      <c r="M140">
        <v>1929</v>
      </c>
      <c r="N140">
        <v>32.319999694824197</v>
      </c>
      <c r="O140" s="1">
        <v>3727349</v>
      </c>
      <c r="P140">
        <v>12</v>
      </c>
      <c r="Q140">
        <v>2785</v>
      </c>
      <c r="R140">
        <v>10</v>
      </c>
      <c r="S140" s="2">
        <v>629337680.48399997</v>
      </c>
      <c r="T140" s="2">
        <v>592046576.61899996</v>
      </c>
      <c r="U140" s="2">
        <v>37291103.865000002</v>
      </c>
      <c r="V140" s="2">
        <v>67762459.245000005</v>
      </c>
      <c r="W140">
        <v>83</v>
      </c>
      <c r="X140">
        <v>2.20000004768371</v>
      </c>
      <c r="Y140">
        <v>6.1999998092651296</v>
      </c>
      <c r="Z140">
        <v>8.6000003814697195</v>
      </c>
      <c r="AA140">
        <v>1.5</v>
      </c>
      <c r="AB140">
        <v>1</v>
      </c>
      <c r="AC140">
        <v>5</v>
      </c>
      <c r="AD140">
        <v>17808</v>
      </c>
      <c r="AE140">
        <v>1</v>
      </c>
      <c r="AF140">
        <v>5</v>
      </c>
      <c r="AG140">
        <v>100</v>
      </c>
      <c r="AH140">
        <f>AVERAGE(AH137:AH139)</f>
        <v>6.3333333780368137E-2</v>
      </c>
      <c r="AI140">
        <v>0</v>
      </c>
      <c r="AJ140">
        <v>993906816</v>
      </c>
      <c r="AK140">
        <v>45040700</v>
      </c>
      <c r="AL140">
        <v>40703500</v>
      </c>
      <c r="AM140">
        <v>747107008</v>
      </c>
      <c r="AN140">
        <v>574438016</v>
      </c>
      <c r="AO140">
        <v>2267664</v>
      </c>
      <c r="AP140">
        <v>641</v>
      </c>
      <c r="AQ140">
        <v>3</v>
      </c>
      <c r="AR140">
        <f t="shared" si="2"/>
        <v>60426.094644266588</v>
      </c>
    </row>
    <row r="141" spans="1:44" x14ac:dyDescent="0.3">
      <c r="A141">
        <v>2008</v>
      </c>
      <c r="B141" t="s">
        <v>56</v>
      </c>
      <c r="C141">
        <v>91982</v>
      </c>
      <c r="D141">
        <v>10.6350002288818</v>
      </c>
      <c r="E141">
        <v>1.10699999332427</v>
      </c>
      <c r="F141">
        <v>13172</v>
      </c>
      <c r="G141">
        <v>12787</v>
      </c>
      <c r="H141">
        <v>385</v>
      </c>
      <c r="I141">
        <v>12980</v>
      </c>
      <c r="J141">
        <v>33.5</v>
      </c>
      <c r="K141">
        <v>2866</v>
      </c>
      <c r="L141">
        <v>901</v>
      </c>
      <c r="M141">
        <v>1965</v>
      </c>
      <c r="N141">
        <v>32.094001770019503</v>
      </c>
      <c r="O141" s="1">
        <v>3710611</v>
      </c>
      <c r="P141">
        <v>12</v>
      </c>
      <c r="Q141">
        <v>2777</v>
      </c>
      <c r="R141">
        <v>10</v>
      </c>
      <c r="S141" s="2">
        <v>619524841.91499996</v>
      </c>
      <c r="T141" s="2">
        <v>574901535.68200004</v>
      </c>
      <c r="U141" s="2">
        <v>44623306.233000003</v>
      </c>
      <c r="V141" s="2">
        <v>52532068.653999999</v>
      </c>
      <c r="W141">
        <v>81.800003051757798</v>
      </c>
      <c r="X141">
        <v>2</v>
      </c>
      <c r="Y141">
        <v>6.3000001907348597</v>
      </c>
      <c r="Z141">
        <v>9.8999996185302699</v>
      </c>
      <c r="AA141">
        <v>1.5</v>
      </c>
      <c r="AB141">
        <v>1</v>
      </c>
      <c r="AC141">
        <v>5</v>
      </c>
      <c r="AD141">
        <v>17449</v>
      </c>
      <c r="AE141">
        <v>1</v>
      </c>
      <c r="AF141">
        <v>5</v>
      </c>
      <c r="AG141">
        <v>100</v>
      </c>
      <c r="AH141">
        <f>AVERAGE(AH137:AH139)</f>
        <v>6.3333333780368137E-2</v>
      </c>
      <c r="AI141">
        <v>0</v>
      </c>
      <c r="AJ141">
        <v>994480768</v>
      </c>
      <c r="AK141">
        <v>40970800</v>
      </c>
      <c r="AL141">
        <v>40752200</v>
      </c>
      <c r="AM141">
        <v>727312512</v>
      </c>
      <c r="AN141">
        <v>569861888</v>
      </c>
      <c r="AO141">
        <v>1836900</v>
      </c>
      <c r="AP141">
        <v>648</v>
      </c>
      <c r="AQ141">
        <v>4</v>
      </c>
      <c r="AR141">
        <f t="shared" si="2"/>
        <v>60930.887264130586</v>
      </c>
    </row>
    <row r="142" spans="1:44" x14ac:dyDescent="0.3">
      <c r="A142">
        <v>2009</v>
      </c>
      <c r="B142" t="s">
        <v>56</v>
      </c>
      <c r="C142">
        <v>91982</v>
      </c>
      <c r="D142">
        <v>10.656999588012599</v>
      </c>
      <c r="E142">
        <v>1.0880000591278001</v>
      </c>
      <c r="F142">
        <v>12907</v>
      </c>
      <c r="G142">
        <v>12482</v>
      </c>
      <c r="H142">
        <v>425</v>
      </c>
      <c r="I142">
        <v>12695</v>
      </c>
      <c r="J142">
        <v>34</v>
      </c>
      <c r="K142">
        <v>2882</v>
      </c>
      <c r="L142">
        <v>892</v>
      </c>
      <c r="M142">
        <v>1990</v>
      </c>
      <c r="N142">
        <v>31.916000366210898</v>
      </c>
      <c r="O142">
        <v>3697.84008789062</v>
      </c>
      <c r="P142">
        <v>12</v>
      </c>
      <c r="Q142">
        <v>2763</v>
      </c>
      <c r="R142">
        <v>10</v>
      </c>
      <c r="S142" s="2">
        <v>600744348.46500003</v>
      </c>
      <c r="T142" s="2">
        <v>564016724.86699998</v>
      </c>
      <c r="U142" s="2">
        <v>36727623.597999997</v>
      </c>
      <c r="V142">
        <v>46510752</v>
      </c>
      <c r="W142">
        <v>81.599998474120994</v>
      </c>
      <c r="X142">
        <v>1.1000000238418499</v>
      </c>
      <c r="Y142">
        <v>6.4000000953674299</v>
      </c>
      <c r="Z142">
        <v>10.899999618530201</v>
      </c>
      <c r="AA142">
        <v>1.5</v>
      </c>
      <c r="AB142">
        <v>1</v>
      </c>
      <c r="AC142">
        <v>5</v>
      </c>
      <c r="AD142">
        <v>16655</v>
      </c>
      <c r="AE142">
        <v>1</v>
      </c>
      <c r="AF142">
        <v>5</v>
      </c>
      <c r="AG142">
        <v>100</v>
      </c>
      <c r="AH142">
        <f>AVERAGE(AH137:AH139)</f>
        <v>6.3333333780368137E-2</v>
      </c>
      <c r="AI142">
        <v>0</v>
      </c>
      <c r="AJ142">
        <v>950656896</v>
      </c>
      <c r="AK142">
        <v>38324000</v>
      </c>
      <c r="AL142">
        <v>34981000</v>
      </c>
      <c r="AM142">
        <v>713275520</v>
      </c>
      <c r="AN142">
        <v>570461696</v>
      </c>
      <c r="AO142">
        <v>262300</v>
      </c>
      <c r="AP142">
        <v>613.29999999999995</v>
      </c>
      <c r="AQ142">
        <v>4</v>
      </c>
      <c r="AR142">
        <f t="shared" si="2"/>
        <v>57549.031032136212</v>
      </c>
    </row>
    <row r="143" spans="1:44" x14ac:dyDescent="0.3">
      <c r="A143">
        <v>2010</v>
      </c>
      <c r="B143" t="s">
        <v>56</v>
      </c>
      <c r="C143">
        <v>91982</v>
      </c>
      <c r="D143">
        <v>10.6759996414184</v>
      </c>
      <c r="E143">
        <v>1.15999996662139</v>
      </c>
      <c r="F143">
        <v>12473</v>
      </c>
      <c r="G143">
        <v>12099</v>
      </c>
      <c r="H143">
        <v>374</v>
      </c>
      <c r="I143">
        <v>12286</v>
      </c>
      <c r="J143">
        <v>34</v>
      </c>
      <c r="K143">
        <v>2890</v>
      </c>
      <c r="L143">
        <v>877</v>
      </c>
      <c r="M143">
        <v>2013</v>
      </c>
      <c r="N143">
        <v>31.827999114990199</v>
      </c>
      <c r="O143">
        <v>3693.96997070312</v>
      </c>
      <c r="P143">
        <v>11</v>
      </c>
      <c r="Q143">
        <v>2748</v>
      </c>
      <c r="R143">
        <v>10</v>
      </c>
      <c r="S143" s="2">
        <v>561048928.13499999</v>
      </c>
      <c r="T143">
        <v>522169440</v>
      </c>
      <c r="U143" s="2">
        <v>38879499.164999999</v>
      </c>
      <c r="V143" s="2">
        <v>48320197.299000002</v>
      </c>
      <c r="W143">
        <v>79</v>
      </c>
      <c r="X143">
        <v>1</v>
      </c>
      <c r="Y143">
        <v>6</v>
      </c>
      <c r="Z143">
        <v>14</v>
      </c>
      <c r="AA143">
        <v>1.3999999761581401</v>
      </c>
      <c r="AB143">
        <v>1</v>
      </c>
      <c r="AC143">
        <v>5</v>
      </c>
      <c r="AD143">
        <v>15855</v>
      </c>
      <c r="AE143">
        <v>1</v>
      </c>
      <c r="AF143">
        <v>5</v>
      </c>
      <c r="AG143">
        <v>100</v>
      </c>
      <c r="AH143">
        <f>AVERAGE(AH137:AH139)</f>
        <v>6.3333333780368137E-2</v>
      </c>
      <c r="AI143">
        <v>0</v>
      </c>
      <c r="AJ143">
        <v>918316032</v>
      </c>
      <c r="AK143">
        <v>37451000</v>
      </c>
      <c r="AL143">
        <v>32569000</v>
      </c>
      <c r="AM143">
        <v>701059968</v>
      </c>
      <c r="AN143">
        <v>565948032</v>
      </c>
      <c r="AO143">
        <v>239100</v>
      </c>
      <c r="AP143">
        <v>593.20000000000005</v>
      </c>
      <c r="AQ143">
        <v>0</v>
      </c>
      <c r="AR143">
        <f t="shared" si="2"/>
        <v>55563.883469856337</v>
      </c>
    </row>
    <row r="144" spans="1:44" x14ac:dyDescent="0.3">
      <c r="A144">
        <v>2011</v>
      </c>
      <c r="B144" t="s">
        <v>56</v>
      </c>
      <c r="C144">
        <v>91982</v>
      </c>
      <c r="D144">
        <v>10.5620002746582</v>
      </c>
      <c r="E144">
        <v>1.18700003623962</v>
      </c>
      <c r="F144">
        <v>11923</v>
      </c>
      <c r="G144">
        <v>11608</v>
      </c>
      <c r="H144">
        <v>315</v>
      </c>
      <c r="I144">
        <f>AVERAGE(I137:I143)</f>
        <v>13303.714285714286</v>
      </c>
      <c r="J144">
        <v>34</v>
      </c>
      <c r="K144">
        <v>2556</v>
      </c>
      <c r="L144">
        <v>778</v>
      </c>
      <c r="M144">
        <v>1778</v>
      </c>
      <c r="N144">
        <v>35.9869995117187</v>
      </c>
      <c r="O144" s="1">
        <v>4132238</v>
      </c>
      <c r="P144">
        <v>9</v>
      </c>
      <c r="Q144">
        <v>2568</v>
      </c>
      <c r="R144">
        <v>10</v>
      </c>
      <c r="S144" s="2">
        <v>526838247.68300003</v>
      </c>
      <c r="T144" s="2">
        <v>481791912.384</v>
      </c>
      <c r="U144" s="2">
        <v>45046335.299000002</v>
      </c>
      <c r="V144" s="2">
        <v>47777590.564000003</v>
      </c>
      <c r="W144">
        <v>77</v>
      </c>
      <c r="X144">
        <v>1</v>
      </c>
      <c r="Y144">
        <v>7</v>
      </c>
      <c r="Z144">
        <v>15</v>
      </c>
      <c r="AA144">
        <v>1.29999995231628</v>
      </c>
      <c r="AB144">
        <v>1</v>
      </c>
      <c r="AC144">
        <v>5</v>
      </c>
      <c r="AD144">
        <v>11984</v>
      </c>
      <c r="AE144">
        <v>1</v>
      </c>
      <c r="AF144">
        <v>5</v>
      </c>
      <c r="AG144">
        <v>100</v>
      </c>
      <c r="AH144">
        <f>AVERAGE(AH137:AH139)</f>
        <v>6.3333333780368137E-2</v>
      </c>
      <c r="AI144">
        <v>0</v>
      </c>
      <c r="AJ144">
        <v>868547968</v>
      </c>
      <c r="AK144">
        <v>33684000</v>
      </c>
      <c r="AL144">
        <v>29184000</v>
      </c>
      <c r="AM144">
        <v>661420992</v>
      </c>
      <c r="AN144">
        <v>541004032</v>
      </c>
      <c r="AO144">
        <v>226900</v>
      </c>
      <c r="AP144">
        <v>565.4</v>
      </c>
      <c r="AQ144">
        <v>0</v>
      </c>
      <c r="AR144">
        <f t="shared" si="2"/>
        <v>53531.526727620454</v>
      </c>
    </row>
    <row r="145" spans="1:44" x14ac:dyDescent="0.3">
      <c r="A145">
        <v>2005</v>
      </c>
      <c r="B145" t="s">
        <v>57</v>
      </c>
      <c r="C145">
        <v>238391</v>
      </c>
      <c r="D145">
        <v>21.6280002593994</v>
      </c>
      <c r="E145">
        <v>4.4419999122619602</v>
      </c>
      <c r="F145">
        <v>36281</v>
      </c>
      <c r="G145">
        <v>34105</v>
      </c>
      <c r="H145">
        <v>2176</v>
      </c>
      <c r="I145">
        <v>35551</v>
      </c>
      <c r="J145">
        <v>65.319999694824205</v>
      </c>
      <c r="K145">
        <v>6811</v>
      </c>
      <c r="L145">
        <v>6811</v>
      </c>
      <c r="M145">
        <v>0</v>
      </c>
      <c r="N145">
        <v>35.000999450683501</v>
      </c>
      <c r="O145" s="1">
        <v>3175386</v>
      </c>
      <c r="P145">
        <v>250</v>
      </c>
      <c r="Q145">
        <v>6914</v>
      </c>
      <c r="R145">
        <v>9</v>
      </c>
      <c r="S145" s="2">
        <v>165339592.52599999</v>
      </c>
      <c r="T145" s="2">
        <v>156452192.706</v>
      </c>
      <c r="U145">
        <v>8887400</v>
      </c>
      <c r="V145" s="2">
        <v>6539780.9550000001</v>
      </c>
      <c r="W145">
        <v>22.690000534057599</v>
      </c>
      <c r="X145">
        <v>3.9400000572204501</v>
      </c>
      <c r="Y145">
        <v>8.6800003051757795</v>
      </c>
      <c r="Z145">
        <v>64.690002441406193</v>
      </c>
      <c r="AA145">
        <v>9.00000035762787E-2</v>
      </c>
      <c r="AB145">
        <v>1</v>
      </c>
      <c r="AC145">
        <v>5</v>
      </c>
      <c r="AD145">
        <v>12611</v>
      </c>
      <c r="AE145">
        <v>1</v>
      </c>
      <c r="AF145">
        <v>5</v>
      </c>
      <c r="AG145">
        <v>99.800003051757798</v>
      </c>
      <c r="AH145">
        <v>0.20000000298023199</v>
      </c>
      <c r="AI145">
        <v>0</v>
      </c>
      <c r="AJ145">
        <v>373815136</v>
      </c>
      <c r="AK145">
        <v>7522915</v>
      </c>
      <c r="AL145">
        <v>12787563</v>
      </c>
      <c r="AM145">
        <v>52334720</v>
      </c>
      <c r="AN145">
        <v>3317667</v>
      </c>
      <c r="AO145">
        <v>2071168</v>
      </c>
      <c r="AP145">
        <v>100.1</v>
      </c>
      <c r="AQ145">
        <v>1</v>
      </c>
      <c r="AR145">
        <f t="shared" si="2"/>
        <v>4628.259607889413</v>
      </c>
    </row>
    <row r="146" spans="1:44" x14ac:dyDescent="0.3">
      <c r="A146">
        <v>2006</v>
      </c>
      <c r="B146" t="s">
        <v>57</v>
      </c>
      <c r="C146">
        <v>238391</v>
      </c>
      <c r="D146">
        <v>21.531999588012599</v>
      </c>
      <c r="E146">
        <v>3.8629999160766602</v>
      </c>
      <c r="F146">
        <v>35611</v>
      </c>
      <c r="G146">
        <v>33600</v>
      </c>
      <c r="H146">
        <v>2011</v>
      </c>
      <c r="I146">
        <v>34935</v>
      </c>
      <c r="J146">
        <v>65</v>
      </c>
      <c r="K146">
        <v>6809</v>
      </c>
      <c r="L146">
        <v>6809</v>
      </c>
      <c r="M146">
        <v>0</v>
      </c>
      <c r="N146">
        <v>35.011001586913999</v>
      </c>
      <c r="O146" s="1">
        <v>3162246</v>
      </c>
      <c r="P146">
        <v>249</v>
      </c>
      <c r="Q146">
        <v>6902</v>
      </c>
      <c r="R146">
        <v>9</v>
      </c>
      <c r="S146">
        <v>215369744</v>
      </c>
      <c r="T146" s="2">
        <v>208493155.83700001</v>
      </c>
      <c r="U146" s="2">
        <v>6876593.0630000001</v>
      </c>
      <c r="V146" s="2">
        <v>8278523.1689999998</v>
      </c>
      <c r="W146">
        <v>23.670000076293899</v>
      </c>
      <c r="X146">
        <v>9.8699998855590803</v>
      </c>
      <c r="Y146">
        <v>8.75</v>
      </c>
      <c r="Z146">
        <v>57.709999084472599</v>
      </c>
      <c r="AA146">
        <v>5.0000000745058101E-2</v>
      </c>
      <c r="AB146">
        <v>1</v>
      </c>
      <c r="AC146">
        <v>5</v>
      </c>
      <c r="AD146">
        <v>13832</v>
      </c>
      <c r="AE146">
        <v>1</v>
      </c>
      <c r="AF146">
        <v>5</v>
      </c>
      <c r="AG146">
        <v>99.900001525878906</v>
      </c>
      <c r="AH146">
        <v>0.10000000149011599</v>
      </c>
      <c r="AI146">
        <v>0</v>
      </c>
      <c r="AJ146">
        <v>459696064</v>
      </c>
      <c r="AK146">
        <v>10846939</v>
      </c>
      <c r="AL146">
        <v>14000000</v>
      </c>
      <c r="AM146">
        <v>45747264</v>
      </c>
      <c r="AN146">
        <v>2738875</v>
      </c>
      <c r="AO146">
        <v>5755092</v>
      </c>
      <c r="AP146">
        <v>113.3</v>
      </c>
      <c r="AQ146">
        <v>1</v>
      </c>
      <c r="AR146">
        <f t="shared" si="2"/>
        <v>5261.9358242546559</v>
      </c>
    </row>
    <row r="147" spans="1:44" x14ac:dyDescent="0.3">
      <c r="A147">
        <v>2007</v>
      </c>
      <c r="B147" t="s">
        <v>57</v>
      </c>
      <c r="C147">
        <v>238391</v>
      </c>
      <c r="D147">
        <v>21.645000457763601</v>
      </c>
      <c r="E147">
        <v>3.8819999694824201</v>
      </c>
      <c r="F147">
        <v>36416</v>
      </c>
      <c r="G147">
        <v>34607</v>
      </c>
      <c r="H147">
        <v>1809</v>
      </c>
      <c r="I147">
        <f>AVERAGE(I145:I146,I148:I150)</f>
        <v>34836.800000000003</v>
      </c>
      <c r="J147">
        <v>66</v>
      </c>
      <c r="K147">
        <v>6809</v>
      </c>
      <c r="L147">
        <v>6809</v>
      </c>
      <c r="M147">
        <v>0</v>
      </c>
      <c r="N147">
        <v>35.011001586913999</v>
      </c>
      <c r="O147" s="1">
        <v>3178864</v>
      </c>
      <c r="P147">
        <v>249</v>
      </c>
      <c r="Q147">
        <v>6902</v>
      </c>
      <c r="R147">
        <v>9</v>
      </c>
      <c r="S147" s="2">
        <v>271990125.84200001</v>
      </c>
      <c r="T147" s="2">
        <v>266176092.854</v>
      </c>
      <c r="U147" s="2">
        <v>5814032.9879999999</v>
      </c>
      <c r="V147" s="2">
        <v>6563778.9620000003</v>
      </c>
      <c r="W147">
        <v>29</v>
      </c>
      <c r="X147">
        <v>8</v>
      </c>
      <c r="Y147">
        <v>7</v>
      </c>
      <c r="Z147">
        <v>56</v>
      </c>
      <c r="AA147">
        <v>9.9999997764825804E-3</v>
      </c>
      <c r="AB147">
        <v>1</v>
      </c>
      <c r="AC147">
        <v>5</v>
      </c>
      <c r="AD147">
        <v>15995</v>
      </c>
      <c r="AE147">
        <v>1</v>
      </c>
      <c r="AF147">
        <v>5</v>
      </c>
      <c r="AG147">
        <v>99.900001525878906</v>
      </c>
      <c r="AH147">
        <v>0.10000000149011599</v>
      </c>
      <c r="AI147">
        <v>0</v>
      </c>
      <c r="AJ147">
        <v>538213440</v>
      </c>
      <c r="AK147">
        <v>11619701</v>
      </c>
      <c r="AL147">
        <v>15400000</v>
      </c>
      <c r="AM147">
        <v>87346720</v>
      </c>
      <c r="AN147">
        <v>25249240</v>
      </c>
      <c r="AO147">
        <v>6091459</v>
      </c>
      <c r="AP147">
        <v>141.30000000000001</v>
      </c>
      <c r="AQ147">
        <v>1</v>
      </c>
      <c r="AR147">
        <f t="shared" si="2"/>
        <v>6528.0663900064137</v>
      </c>
    </row>
    <row r="148" spans="1:44" x14ac:dyDescent="0.3">
      <c r="A148">
        <v>2008</v>
      </c>
      <c r="B148" t="s">
        <v>57</v>
      </c>
      <c r="C148">
        <v>238391</v>
      </c>
      <c r="D148">
        <v>21.590000152587798</v>
      </c>
      <c r="E148">
        <v>4.3649997711181596</v>
      </c>
      <c r="F148">
        <v>34612</v>
      </c>
      <c r="G148">
        <v>33271</v>
      </c>
      <c r="H148">
        <v>1341</v>
      </c>
      <c r="I148">
        <v>34156</v>
      </c>
      <c r="J148">
        <v>67</v>
      </c>
      <c r="K148">
        <v>6814</v>
      </c>
      <c r="L148">
        <v>6814</v>
      </c>
      <c r="M148">
        <v>0</v>
      </c>
      <c r="N148">
        <v>34.985000610351499</v>
      </c>
      <c r="O148">
        <v>3168.40991210937</v>
      </c>
      <c r="P148">
        <v>248</v>
      </c>
      <c r="Q148">
        <v>6903</v>
      </c>
      <c r="R148">
        <v>9</v>
      </c>
      <c r="S148" s="2">
        <v>324516600.22899997</v>
      </c>
      <c r="T148" s="2">
        <v>327109657.73199999</v>
      </c>
      <c r="U148" s="2">
        <v>-2593057.503</v>
      </c>
      <c r="V148" s="2">
        <f>AVERAGE(V145:V147,V149:V150)</f>
        <v>2045237.0670000003</v>
      </c>
      <c r="W148">
        <v>40.330001831054602</v>
      </c>
      <c r="X148">
        <v>6.7399997711181596</v>
      </c>
      <c r="Y148">
        <v>4.3899998664855904</v>
      </c>
      <c r="Z148">
        <v>48.540000915527301</v>
      </c>
      <c r="AA148">
        <v>3.0000000260770299E-3</v>
      </c>
      <c r="AB148">
        <v>1</v>
      </c>
      <c r="AC148">
        <v>5</v>
      </c>
      <c r="AD148">
        <v>16211</v>
      </c>
      <c r="AE148">
        <v>1</v>
      </c>
      <c r="AF148">
        <v>5</v>
      </c>
      <c r="AG148">
        <v>99.900001525878906</v>
      </c>
      <c r="AH148">
        <v>0.10000000149011599</v>
      </c>
      <c r="AI148">
        <v>0</v>
      </c>
      <c r="AJ148">
        <v>568939264</v>
      </c>
      <c r="AK148">
        <v>11116313</v>
      </c>
      <c r="AL148">
        <v>16200000</v>
      </c>
      <c r="AM148">
        <v>39286156</v>
      </c>
      <c r="AN148">
        <v>659571</v>
      </c>
      <c r="AO148">
        <v>3902980</v>
      </c>
      <c r="AP148">
        <v>198</v>
      </c>
      <c r="AQ148">
        <v>2</v>
      </c>
      <c r="AR148">
        <f t="shared" si="2"/>
        <v>9170.9123946563541</v>
      </c>
    </row>
    <row r="149" spans="1:44" x14ac:dyDescent="0.3">
      <c r="A149">
        <v>2010</v>
      </c>
      <c r="B149" t="s">
        <v>57</v>
      </c>
      <c r="C149">
        <v>238391</v>
      </c>
      <c r="D149">
        <v>21.486000061035099</v>
      </c>
      <c r="E149">
        <v>4.9349999427795401</v>
      </c>
      <c r="F149">
        <v>36539</v>
      </c>
      <c r="G149">
        <v>35083</v>
      </c>
      <c r="H149">
        <v>1456</v>
      </c>
      <c r="I149">
        <v>36042</v>
      </c>
      <c r="J149">
        <v>67.150001525878906</v>
      </c>
      <c r="K149">
        <v>6582</v>
      </c>
      <c r="L149">
        <v>6582</v>
      </c>
      <c r="M149">
        <v>0</v>
      </c>
      <c r="N149">
        <v>36.219001770019503</v>
      </c>
      <c r="O149" s="1">
        <v>3264414</v>
      </c>
      <c r="P149">
        <v>185</v>
      </c>
      <c r="Q149">
        <v>2785</v>
      </c>
      <c r="R149">
        <v>9</v>
      </c>
      <c r="S149" s="2">
        <v>282687198.37900001</v>
      </c>
      <c r="T149" s="2">
        <v>308676280.24299997</v>
      </c>
      <c r="U149" s="2">
        <v>-25989081.864</v>
      </c>
      <c r="V149" s="2">
        <v>24524261.601</v>
      </c>
      <c r="W149">
        <v>36.380001068115199</v>
      </c>
      <c r="X149">
        <v>6.8400001525878897</v>
      </c>
      <c r="Y149">
        <v>4.3299999237060502</v>
      </c>
      <c r="Z149">
        <v>52.450000762939403</v>
      </c>
      <c r="AA149">
        <v>2.0000000949949E-3</v>
      </c>
      <c r="AB149">
        <v>1</v>
      </c>
      <c r="AC149">
        <v>5</v>
      </c>
      <c r="AD149">
        <v>16008</v>
      </c>
      <c r="AE149">
        <v>1</v>
      </c>
      <c r="AF149">
        <v>5</v>
      </c>
      <c r="AG149">
        <v>99.900001525878906</v>
      </c>
      <c r="AH149">
        <v>0.10000000149011599</v>
      </c>
      <c r="AI149">
        <v>0</v>
      </c>
      <c r="AJ149">
        <v>454311904</v>
      </c>
      <c r="AK149">
        <v>6705116</v>
      </c>
      <c r="AL149">
        <v>15601142</v>
      </c>
      <c r="AM149">
        <v>72995504</v>
      </c>
      <c r="AN149">
        <v>63812640</v>
      </c>
      <c r="AO149">
        <v>7910323</v>
      </c>
      <c r="AP149">
        <v>326.89999999999998</v>
      </c>
      <c r="AQ149">
        <v>3</v>
      </c>
      <c r="AR149">
        <f t="shared" si="2"/>
        <v>15214.558273823786</v>
      </c>
    </row>
    <row r="150" spans="1:44" x14ac:dyDescent="0.3">
      <c r="A150">
        <v>2011</v>
      </c>
      <c r="B150" t="s">
        <v>57</v>
      </c>
      <c r="C150">
        <v>238391</v>
      </c>
      <c r="D150">
        <v>21.436000823974599</v>
      </c>
      <c r="E150">
        <v>5.1269998550415004</v>
      </c>
      <c r="F150">
        <v>33949</v>
      </c>
      <c r="G150">
        <v>32630</v>
      </c>
      <c r="H150">
        <v>1319</v>
      </c>
      <c r="I150">
        <v>33500</v>
      </c>
      <c r="J150">
        <v>67</v>
      </c>
      <c r="K150">
        <v>5827</v>
      </c>
      <c r="L150">
        <v>5827</v>
      </c>
      <c r="M150">
        <v>0</v>
      </c>
      <c r="N150">
        <v>40.910999298095703</v>
      </c>
      <c r="O150" s="1">
        <v>3678822</v>
      </c>
      <c r="P150">
        <v>185</v>
      </c>
      <c r="Q150">
        <v>5640</v>
      </c>
      <c r="R150">
        <v>9</v>
      </c>
      <c r="S150">
        <v>250786336</v>
      </c>
      <c r="T150" s="2">
        <v>287786817.82700002</v>
      </c>
      <c r="U150" s="2">
        <v>-37000475.327</v>
      </c>
      <c r="V150" s="2">
        <v>-35680159.351999998</v>
      </c>
      <c r="W150">
        <v>38.130001068115199</v>
      </c>
      <c r="X150">
        <v>7.2899999618530202</v>
      </c>
      <c r="Y150">
        <v>4.5300002098083398</v>
      </c>
      <c r="Z150">
        <v>50.049999237060497</v>
      </c>
      <c r="AA150">
        <v>2.0000000949949E-3</v>
      </c>
      <c r="AB150">
        <v>1</v>
      </c>
      <c r="AC150">
        <v>5</v>
      </c>
      <c r="AD150">
        <v>15896</v>
      </c>
      <c r="AE150">
        <v>1</v>
      </c>
      <c r="AF150">
        <v>5</v>
      </c>
      <c r="AG150">
        <v>99.900001525878906</v>
      </c>
      <c r="AH150">
        <v>0.10000000149011599</v>
      </c>
      <c r="AI150">
        <v>0</v>
      </c>
      <c r="AJ150">
        <v>292635200</v>
      </c>
      <c r="AK150">
        <v>5246365</v>
      </c>
      <c r="AL150">
        <v>17700384</v>
      </c>
      <c r="AM150">
        <v>19421916</v>
      </c>
      <c r="AN150">
        <v>12438362</v>
      </c>
      <c r="AO150">
        <v>5452584</v>
      </c>
      <c r="AP150">
        <v>298.39999999999998</v>
      </c>
      <c r="AQ150">
        <v>3</v>
      </c>
      <c r="AR150">
        <f t="shared" si="2"/>
        <v>13920.50702229221</v>
      </c>
    </row>
    <row r="151" spans="1:44" x14ac:dyDescent="0.3">
      <c r="A151">
        <v>2007</v>
      </c>
      <c r="B151" t="s">
        <v>58</v>
      </c>
      <c r="C151">
        <v>49033</v>
      </c>
      <c r="D151">
        <v>5.4310002326965297</v>
      </c>
      <c r="E151">
        <v>36.139999389648402</v>
      </c>
      <c r="F151">
        <v>16909</v>
      </c>
      <c r="G151">
        <v>10844</v>
      </c>
      <c r="H151">
        <v>6065</v>
      </c>
      <c r="I151">
        <v>15849</v>
      </c>
      <c r="J151">
        <v>82.739997863769503</v>
      </c>
      <c r="K151">
        <v>1589</v>
      </c>
      <c r="L151">
        <v>1565</v>
      </c>
      <c r="M151">
        <v>24</v>
      </c>
      <c r="N151">
        <v>30.8579998016357</v>
      </c>
      <c r="O151" s="1">
        <v>3417857</v>
      </c>
      <c r="P151">
        <v>1216</v>
      </c>
      <c r="Q151">
        <v>1594</v>
      </c>
      <c r="R151">
        <v>4</v>
      </c>
      <c r="S151">
        <v>247414528</v>
      </c>
      <c r="T151" s="2">
        <v>237826286.66299999</v>
      </c>
      <c r="U151" s="2">
        <v>9588240.1769999992</v>
      </c>
      <c r="V151">
        <v>5869397</v>
      </c>
      <c r="W151">
        <v>58.560001373291001</v>
      </c>
      <c r="X151">
        <v>4.4000000953674299</v>
      </c>
      <c r="Y151">
        <v>9.9399995803833008</v>
      </c>
      <c r="Z151">
        <v>27.100000381469702</v>
      </c>
      <c r="AA151">
        <v>0.20000000298023199</v>
      </c>
      <c r="AB151">
        <v>1</v>
      </c>
      <c r="AC151">
        <v>5</v>
      </c>
      <c r="AD151">
        <v>6990</v>
      </c>
      <c r="AE151">
        <v>1</v>
      </c>
      <c r="AF151">
        <v>5</v>
      </c>
      <c r="AG151">
        <v>99</v>
      </c>
      <c r="AH151">
        <v>1</v>
      </c>
      <c r="AI151">
        <v>0</v>
      </c>
      <c r="AJ151">
        <v>523031456</v>
      </c>
      <c r="AK151">
        <v>16314017</v>
      </c>
      <c r="AL151">
        <v>21991298</v>
      </c>
      <c r="AM151">
        <v>266000144</v>
      </c>
      <c r="AN151">
        <v>223656288</v>
      </c>
      <c r="AO151">
        <v>3312405</v>
      </c>
      <c r="AP151">
        <v>132.6</v>
      </c>
      <c r="AQ151">
        <v>0</v>
      </c>
      <c r="AR151">
        <f t="shared" si="2"/>
        <v>24415.392067505614</v>
      </c>
    </row>
    <row r="152" spans="1:44" x14ac:dyDescent="0.3">
      <c r="A152">
        <v>2008</v>
      </c>
      <c r="B152" t="s">
        <v>58</v>
      </c>
      <c r="C152">
        <v>49033</v>
      </c>
      <c r="D152">
        <v>5.44099998474121</v>
      </c>
      <c r="E152">
        <v>32.938999176025298</v>
      </c>
      <c r="F152">
        <v>16257</v>
      </c>
      <c r="G152">
        <v>10195</v>
      </c>
      <c r="H152">
        <v>6062</v>
      </c>
      <c r="I152">
        <v>15307</v>
      </c>
      <c r="J152">
        <v>83.25</v>
      </c>
      <c r="K152">
        <v>1589</v>
      </c>
      <c r="L152">
        <v>1543</v>
      </c>
      <c r="M152">
        <v>46</v>
      </c>
      <c r="N152">
        <v>30.8579998016357</v>
      </c>
      <c r="O152" s="1">
        <v>3424357</v>
      </c>
      <c r="P152">
        <v>1188</v>
      </c>
      <c r="Q152">
        <v>1594</v>
      </c>
      <c r="R152">
        <v>4</v>
      </c>
      <c r="S152" s="2">
        <v>293345153.162</v>
      </c>
      <c r="T152" s="2">
        <v>287805397.85699999</v>
      </c>
      <c r="U152" s="2">
        <v>5539755.3049999997</v>
      </c>
      <c r="V152" s="2">
        <v>2371085.1570000001</v>
      </c>
      <c r="W152">
        <v>55.5</v>
      </c>
      <c r="X152">
        <v>6.2800002098083398</v>
      </c>
      <c r="Y152">
        <v>9.92000007629394</v>
      </c>
      <c r="Z152">
        <v>28.299999237060501</v>
      </c>
      <c r="AA152">
        <v>0.20000000298023199</v>
      </c>
      <c r="AB152">
        <v>1</v>
      </c>
      <c r="AC152">
        <v>5</v>
      </c>
      <c r="AD152">
        <v>6797</v>
      </c>
      <c r="AE152">
        <v>1</v>
      </c>
      <c r="AF152">
        <v>5</v>
      </c>
      <c r="AG152">
        <v>99</v>
      </c>
      <c r="AH152">
        <v>1</v>
      </c>
      <c r="AI152">
        <v>0</v>
      </c>
      <c r="AJ152">
        <v>531112512</v>
      </c>
      <c r="AK152">
        <v>20469104</v>
      </c>
      <c r="AL152">
        <v>27239308</v>
      </c>
      <c r="AM152">
        <v>258141808</v>
      </c>
      <c r="AN152">
        <v>212934288</v>
      </c>
      <c r="AO152">
        <v>3632778</v>
      </c>
      <c r="AP152">
        <v>191.7</v>
      </c>
      <c r="AQ152">
        <v>0</v>
      </c>
      <c r="AR152">
        <f t="shared" si="2"/>
        <v>35232.494125639627</v>
      </c>
    </row>
    <row r="153" spans="1:44" x14ac:dyDescent="0.3">
      <c r="A153">
        <v>2009</v>
      </c>
      <c r="B153" t="s">
        <v>58</v>
      </c>
      <c r="C153">
        <v>49033</v>
      </c>
      <c r="D153">
        <v>5.4520001411437899</v>
      </c>
      <c r="E153">
        <v>1.0880000591278001</v>
      </c>
      <c r="F153">
        <v>15660</v>
      </c>
      <c r="G153">
        <v>10277</v>
      </c>
      <c r="H153">
        <v>5383</v>
      </c>
      <c r="I153">
        <v>15080</v>
      </c>
      <c r="J153">
        <v>83.25</v>
      </c>
      <c r="K153">
        <v>1596</v>
      </c>
      <c r="L153">
        <v>1548</v>
      </c>
      <c r="M153">
        <v>48</v>
      </c>
      <c r="N153">
        <v>30.722000122070298</v>
      </c>
      <c r="O153">
        <v>3416.02001953125</v>
      </c>
      <c r="P153">
        <v>1186</v>
      </c>
      <c r="Q153">
        <v>1601</v>
      </c>
      <c r="R153">
        <v>4</v>
      </c>
      <c r="S153" s="2">
        <v>283676713.83899999</v>
      </c>
      <c r="T153" s="2">
        <v>277252343.31900001</v>
      </c>
      <c r="U153">
        <v>6424370.5</v>
      </c>
      <c r="V153" s="2">
        <v>121301.231</v>
      </c>
      <c r="W153">
        <v>58.639999389648402</v>
      </c>
      <c r="X153">
        <v>7.7600002288818297</v>
      </c>
      <c r="Y153">
        <v>9.7600002288818306</v>
      </c>
      <c r="Z153">
        <v>23.840000152587798</v>
      </c>
      <c r="AA153">
        <v>0.20000000298023199</v>
      </c>
      <c r="AB153">
        <v>1</v>
      </c>
      <c r="AC153">
        <v>5</v>
      </c>
      <c r="AD153">
        <v>6624</v>
      </c>
      <c r="AE153">
        <v>1</v>
      </c>
      <c r="AF153">
        <v>5</v>
      </c>
      <c r="AG153">
        <v>99</v>
      </c>
      <c r="AH153">
        <v>1</v>
      </c>
      <c r="AI153">
        <v>0</v>
      </c>
      <c r="AJ153">
        <v>451440800</v>
      </c>
      <c r="AK153">
        <v>27671584</v>
      </c>
      <c r="AL153">
        <v>25670066</v>
      </c>
      <c r="AM153">
        <v>200554928</v>
      </c>
      <c r="AN153">
        <v>166100576</v>
      </c>
      <c r="AO153">
        <v>3387925</v>
      </c>
      <c r="AP153">
        <v>168</v>
      </c>
      <c r="AQ153">
        <v>1</v>
      </c>
      <c r="AR153">
        <f t="shared" si="2"/>
        <v>30814.37924628425</v>
      </c>
    </row>
    <row r="154" spans="1:44" x14ac:dyDescent="0.3">
      <c r="A154">
        <v>2010</v>
      </c>
      <c r="B154" t="s">
        <v>58</v>
      </c>
      <c r="C154">
        <v>49033</v>
      </c>
      <c r="D154">
        <v>5.4619998931884703</v>
      </c>
      <c r="E154">
        <v>1.15999996662139</v>
      </c>
      <c r="F154">
        <v>15229</v>
      </c>
      <c r="G154">
        <v>9958</v>
      </c>
      <c r="H154">
        <v>5271</v>
      </c>
      <c r="I154">
        <v>14061</v>
      </c>
      <c r="J154">
        <v>82.940002441406193</v>
      </c>
      <c r="K154">
        <v>1595</v>
      </c>
      <c r="L154">
        <v>1548</v>
      </c>
      <c r="M154">
        <v>47</v>
      </c>
      <c r="N154">
        <v>30.742000579833899</v>
      </c>
      <c r="O154" s="1">
        <v>3424526</v>
      </c>
      <c r="P154">
        <v>1186</v>
      </c>
      <c r="Q154">
        <v>1600</v>
      </c>
      <c r="R154">
        <v>4</v>
      </c>
      <c r="S154" s="2">
        <v>265814117.93099999</v>
      </c>
      <c r="T154" s="2">
        <v>273892347.75700003</v>
      </c>
      <c r="U154" s="2">
        <v>-8078229.8260000004</v>
      </c>
      <c r="V154" s="2">
        <v>10447889.899</v>
      </c>
      <c r="W154">
        <v>59.680000305175703</v>
      </c>
      <c r="X154">
        <v>8.8800001144409109</v>
      </c>
      <c r="Y154">
        <v>9.5699996948242099</v>
      </c>
      <c r="Z154">
        <v>21.870000839233299</v>
      </c>
      <c r="AA154">
        <v>0.20000000298023199</v>
      </c>
      <c r="AB154">
        <v>1</v>
      </c>
      <c r="AC154">
        <v>5</v>
      </c>
      <c r="AD154">
        <v>6583</v>
      </c>
      <c r="AE154">
        <v>1</v>
      </c>
      <c r="AF154">
        <v>5</v>
      </c>
      <c r="AG154">
        <v>99</v>
      </c>
      <c r="AH154">
        <v>1</v>
      </c>
      <c r="AI154">
        <v>0</v>
      </c>
      <c r="AJ154">
        <v>476280448</v>
      </c>
      <c r="AK154">
        <v>26510812</v>
      </c>
      <c r="AL154">
        <v>28426996</v>
      </c>
      <c r="AM154">
        <v>219462288</v>
      </c>
      <c r="AN154">
        <v>188993280</v>
      </c>
      <c r="AO154">
        <v>3084919</v>
      </c>
      <c r="AP154">
        <v>155</v>
      </c>
      <c r="AQ154">
        <v>1</v>
      </c>
      <c r="AR154">
        <f t="shared" si="2"/>
        <v>28377.884114076383</v>
      </c>
    </row>
    <row r="155" spans="1:44" x14ac:dyDescent="0.3">
      <c r="A155">
        <v>2011</v>
      </c>
      <c r="B155" t="s">
        <v>58</v>
      </c>
      <c r="C155">
        <v>49033</v>
      </c>
      <c r="D155">
        <v>5.4720001220703098</v>
      </c>
      <c r="E155">
        <v>1.18700003623962</v>
      </c>
      <c r="F155">
        <v>14731</v>
      </c>
      <c r="G155">
        <v>9650</v>
      </c>
      <c r="H155">
        <v>5081</v>
      </c>
      <c r="I155">
        <v>13943</v>
      </c>
      <c r="J155">
        <v>83.180000305175696</v>
      </c>
      <c r="K155">
        <v>1589</v>
      </c>
      <c r="L155">
        <v>1543</v>
      </c>
      <c r="M155">
        <v>46</v>
      </c>
      <c r="N155">
        <v>30.8579998016357</v>
      </c>
      <c r="O155" s="1">
        <v>3443362</v>
      </c>
      <c r="P155">
        <v>1185</v>
      </c>
      <c r="Q155">
        <v>1594</v>
      </c>
      <c r="R155">
        <v>4</v>
      </c>
      <c r="S155" s="2">
        <v>251086773.37799999</v>
      </c>
      <c r="T155" s="2">
        <v>256155855.097</v>
      </c>
      <c r="U155" s="2">
        <v>-5069081.7189999996</v>
      </c>
      <c r="V155" s="2">
        <v>-6373209.773</v>
      </c>
      <c r="W155">
        <v>57.279998779296797</v>
      </c>
      <c r="X155">
        <v>9.3900003433227504</v>
      </c>
      <c r="Y155">
        <v>10.1300001144409</v>
      </c>
      <c r="Z155">
        <v>23.2000007629394</v>
      </c>
      <c r="AA155">
        <v>0.20000000298023199</v>
      </c>
      <c r="AB155">
        <v>1</v>
      </c>
      <c r="AC155">
        <v>5</v>
      </c>
      <c r="AD155">
        <v>6243</v>
      </c>
      <c r="AE155">
        <v>1</v>
      </c>
      <c r="AF155">
        <v>5</v>
      </c>
      <c r="AG155">
        <v>99</v>
      </c>
      <c r="AH155">
        <v>1</v>
      </c>
      <c r="AI155">
        <v>0</v>
      </c>
      <c r="AJ155">
        <v>425743488</v>
      </c>
      <c r="AK155">
        <v>26539388</v>
      </c>
      <c r="AL155">
        <v>27770252</v>
      </c>
      <c r="AM155">
        <v>193845968</v>
      </c>
      <c r="AN155">
        <v>167887120</v>
      </c>
      <c r="AO155">
        <v>2907457</v>
      </c>
      <c r="AP155">
        <v>140.80000000000001</v>
      </c>
      <c r="AQ155">
        <v>2</v>
      </c>
      <c r="AR155">
        <f t="shared" si="2"/>
        <v>25730.993578035388</v>
      </c>
    </row>
    <row r="156" spans="1:44" x14ac:dyDescent="0.3">
      <c r="A156">
        <v>2012</v>
      </c>
      <c r="B156" t="s">
        <v>58</v>
      </c>
      <c r="C156">
        <v>49033</v>
      </c>
      <c r="D156">
        <v>5.4800000190734801</v>
      </c>
      <c r="E156">
        <v>1.16499996185302</v>
      </c>
      <c r="F156">
        <v>14297</v>
      </c>
      <c r="G156">
        <v>9439</v>
      </c>
      <c r="H156">
        <v>4858</v>
      </c>
      <c r="I156">
        <v>13553</v>
      </c>
      <c r="J156">
        <v>83.419998168945298</v>
      </c>
      <c r="K156">
        <v>1586</v>
      </c>
      <c r="L156">
        <v>1541</v>
      </c>
      <c r="M156">
        <v>45</v>
      </c>
      <c r="N156">
        <v>30.916000366210898</v>
      </c>
      <c r="O156" s="1">
        <v>3455443</v>
      </c>
      <c r="P156">
        <v>1185</v>
      </c>
      <c r="Q156">
        <v>1591</v>
      </c>
      <c r="R156">
        <v>4</v>
      </c>
      <c r="S156" s="2">
        <v>253666157.08199999</v>
      </c>
      <c r="T156" s="2">
        <v>254557107.296</v>
      </c>
      <c r="U156" s="2">
        <v>-890950.21400000004</v>
      </c>
      <c r="V156" s="2">
        <v>-2345624.034</v>
      </c>
      <c r="W156">
        <v>56.759998321533203</v>
      </c>
      <c r="X156">
        <v>9.4499998092651296</v>
      </c>
      <c r="Y156">
        <v>8.0500001907348597</v>
      </c>
      <c r="Z156">
        <v>25.7399997711181</v>
      </c>
      <c r="AA156">
        <v>0.20000000298023199</v>
      </c>
      <c r="AB156">
        <v>1</v>
      </c>
      <c r="AC156">
        <v>5</v>
      </c>
      <c r="AD156">
        <v>5691</v>
      </c>
      <c r="AE156">
        <v>1</v>
      </c>
      <c r="AF156">
        <v>5</v>
      </c>
      <c r="AG156">
        <v>99</v>
      </c>
      <c r="AH156">
        <v>1</v>
      </c>
      <c r="AI156">
        <v>0</v>
      </c>
      <c r="AJ156">
        <v>418642560</v>
      </c>
      <c r="AK156">
        <v>24397046</v>
      </c>
      <c r="AL156">
        <v>29160292</v>
      </c>
      <c r="AM156">
        <v>202960944</v>
      </c>
      <c r="AN156">
        <v>181106544</v>
      </c>
      <c r="AO156">
        <v>2836156</v>
      </c>
      <c r="AP156">
        <v>124.7</v>
      </c>
      <c r="AQ156">
        <v>3</v>
      </c>
      <c r="AR156">
        <f t="shared" si="2"/>
        <v>22755.474373352903</v>
      </c>
    </row>
    <row r="157" spans="1:44" x14ac:dyDescent="0.3">
      <c r="A157">
        <v>2013</v>
      </c>
      <c r="B157" t="s">
        <v>58</v>
      </c>
      <c r="C157">
        <v>49033</v>
      </c>
      <c r="D157">
        <v>5.4499998092651296</v>
      </c>
      <c r="E157">
        <v>1.11699998378753</v>
      </c>
      <c r="F157">
        <v>14282</v>
      </c>
      <c r="G157">
        <v>9526</v>
      </c>
      <c r="H157">
        <v>4756</v>
      </c>
      <c r="I157">
        <v>13676</v>
      </c>
      <c r="J157">
        <v>88.319999694824205</v>
      </c>
      <c r="K157">
        <v>1584</v>
      </c>
      <c r="L157">
        <v>1539</v>
      </c>
      <c r="M157">
        <v>45</v>
      </c>
      <c r="N157">
        <v>30.954999923706001</v>
      </c>
      <c r="O157" s="1">
        <v>3440797</v>
      </c>
      <c r="P157">
        <v>1185</v>
      </c>
      <c r="Q157">
        <v>1589</v>
      </c>
      <c r="R157">
        <v>4</v>
      </c>
      <c r="S157" s="2">
        <v>281513876.45499998</v>
      </c>
      <c r="T157" s="2">
        <v>276301700.98500001</v>
      </c>
      <c r="U157">
        <v>5212175.5</v>
      </c>
      <c r="V157" s="2">
        <v>1885407.341</v>
      </c>
      <c r="W157">
        <v>57.439998626708899</v>
      </c>
      <c r="X157">
        <v>9.2899999618530202</v>
      </c>
      <c r="Y157">
        <v>7.1199998855590803</v>
      </c>
      <c r="Z157">
        <v>26.149999618530199</v>
      </c>
      <c r="AA157">
        <v>0.20000000298023199</v>
      </c>
      <c r="AB157">
        <v>1</v>
      </c>
      <c r="AC157">
        <v>5</v>
      </c>
      <c r="AD157">
        <v>5654</v>
      </c>
      <c r="AE157">
        <v>1</v>
      </c>
      <c r="AF157">
        <v>5</v>
      </c>
      <c r="AG157">
        <v>99</v>
      </c>
      <c r="AH157">
        <v>1</v>
      </c>
      <c r="AI157">
        <v>0</v>
      </c>
      <c r="AJ157">
        <v>497941504</v>
      </c>
      <c r="AK157">
        <v>27547536</v>
      </c>
      <c r="AL157">
        <v>26629466</v>
      </c>
      <c r="AM157">
        <v>296381408</v>
      </c>
      <c r="AN157">
        <v>273157824</v>
      </c>
      <c r="AO157">
        <v>2180653</v>
      </c>
      <c r="AP157">
        <v>128.4</v>
      </c>
      <c r="AQ157">
        <v>0</v>
      </c>
      <c r="AR157">
        <f t="shared" si="2"/>
        <v>23559.633852044721</v>
      </c>
    </row>
    <row r="158" spans="1:44" x14ac:dyDescent="0.3">
      <c r="A158">
        <v>2004</v>
      </c>
      <c r="B158" t="s">
        <v>59</v>
      </c>
      <c r="C158">
        <v>20256</v>
      </c>
      <c r="D158">
        <v>1.9969999790191599</v>
      </c>
      <c r="E158">
        <v>273.70999145507801</v>
      </c>
      <c r="F158">
        <v>6276</v>
      </c>
      <c r="G158">
        <v>6145</v>
      </c>
      <c r="H158">
        <v>131</v>
      </c>
      <c r="I158">
        <v>6213.75</v>
      </c>
      <c r="J158">
        <v>38.599998474121001</v>
      </c>
      <c r="K158">
        <v>557</v>
      </c>
      <c r="L158">
        <v>557</v>
      </c>
      <c r="M158">
        <v>0</v>
      </c>
      <c r="N158">
        <v>36.366001129150298</v>
      </c>
      <c r="O158" s="1">
        <v>3585648</v>
      </c>
      <c r="P158">
        <v>9</v>
      </c>
      <c r="Q158">
        <v>550</v>
      </c>
      <c r="R158">
        <v>2</v>
      </c>
      <c r="S158" s="2">
        <v>164483044.09799999</v>
      </c>
      <c r="T158" s="2">
        <v>156085455.40900001</v>
      </c>
      <c r="U158" s="2">
        <v>8397588.6889999993</v>
      </c>
      <c r="V158" s="2">
        <v>1393127.763</v>
      </c>
      <c r="W158">
        <v>57.200000762939403</v>
      </c>
      <c r="X158">
        <v>6.6999998092651296</v>
      </c>
      <c r="Y158">
        <v>16.2000007629394</v>
      </c>
      <c r="Z158">
        <v>19.899999618530199</v>
      </c>
      <c r="AA158">
        <v>7.0000000298023196E-2</v>
      </c>
      <c r="AB158">
        <v>2</v>
      </c>
      <c r="AC158">
        <v>6</v>
      </c>
      <c r="AD158">
        <v>2920</v>
      </c>
      <c r="AE158">
        <v>1</v>
      </c>
      <c r="AF158">
        <v>5.1999998092651296</v>
      </c>
      <c r="AG158">
        <v>100</v>
      </c>
      <c r="AH158">
        <v>0</v>
      </c>
      <c r="AI158">
        <v>0</v>
      </c>
      <c r="AJ158">
        <v>795023104</v>
      </c>
      <c r="AK158">
        <v>8184572</v>
      </c>
      <c r="AL158">
        <v>11284261</v>
      </c>
      <c r="AM158">
        <v>466125856</v>
      </c>
      <c r="AN158">
        <v>394129600</v>
      </c>
      <c r="AO158">
        <v>180142</v>
      </c>
      <c r="AP158">
        <v>128</v>
      </c>
      <c r="AQ158">
        <v>0</v>
      </c>
      <c r="AR158">
        <f t="shared" si="2"/>
        <v>64096.144889730087</v>
      </c>
    </row>
    <row r="159" spans="1:44" x14ac:dyDescent="0.3">
      <c r="A159">
        <v>2005</v>
      </c>
      <c r="B159" t="s">
        <v>59</v>
      </c>
      <c r="C159">
        <v>20256</v>
      </c>
      <c r="D159">
        <v>1.9989999532699501</v>
      </c>
      <c r="E159">
        <v>289.32699584960898</v>
      </c>
      <c r="F159">
        <v>6517</v>
      </c>
      <c r="G159">
        <v>6371</v>
      </c>
      <c r="H159">
        <v>146</v>
      </c>
      <c r="I159">
        <v>6444</v>
      </c>
      <c r="J159">
        <v>38.099998474121001</v>
      </c>
      <c r="K159">
        <v>558</v>
      </c>
      <c r="L159">
        <v>558</v>
      </c>
      <c r="M159">
        <v>0</v>
      </c>
      <c r="N159">
        <v>36.300998687744098</v>
      </c>
      <c r="O159" s="1">
        <v>3583199</v>
      </c>
      <c r="P159">
        <v>9</v>
      </c>
      <c r="Q159">
        <v>551</v>
      </c>
      <c r="R159">
        <v>2</v>
      </c>
      <c r="S159" s="2">
        <v>172609155.039</v>
      </c>
      <c r="T159" s="2">
        <v>155904765.19600001</v>
      </c>
      <c r="U159" s="2">
        <v>16704389.843</v>
      </c>
      <c r="V159" s="2">
        <v>12571315.501</v>
      </c>
      <c r="W159">
        <v>61.200000762939403</v>
      </c>
      <c r="X159">
        <v>7.1999998092651296</v>
      </c>
      <c r="Y159">
        <v>18.899999618530199</v>
      </c>
      <c r="Z159">
        <v>12.699999809265099</v>
      </c>
      <c r="AA159">
        <v>0.62000000476837103</v>
      </c>
      <c r="AB159">
        <v>2</v>
      </c>
      <c r="AC159">
        <v>6</v>
      </c>
      <c r="AD159">
        <v>3068</v>
      </c>
      <c r="AE159">
        <v>1</v>
      </c>
      <c r="AF159">
        <v>5.1999998092651296</v>
      </c>
      <c r="AG159">
        <v>100</v>
      </c>
      <c r="AH159">
        <v>0</v>
      </c>
      <c r="AI159">
        <v>0</v>
      </c>
      <c r="AJ159">
        <v>832487744</v>
      </c>
      <c r="AK159">
        <v>8033515</v>
      </c>
      <c r="AL159">
        <v>11126668</v>
      </c>
      <c r="AM159">
        <v>518283904</v>
      </c>
      <c r="AN159">
        <v>440481344</v>
      </c>
      <c r="AO159">
        <v>103796</v>
      </c>
      <c r="AP159">
        <v>143.30000000000001</v>
      </c>
      <c r="AQ159">
        <v>1</v>
      </c>
      <c r="AR159">
        <f t="shared" si="2"/>
        <v>71685.844597240182</v>
      </c>
    </row>
    <row r="160" spans="1:44" x14ac:dyDescent="0.3">
      <c r="A160">
        <v>2006</v>
      </c>
      <c r="B160" t="s">
        <v>59</v>
      </c>
      <c r="C160">
        <v>20256</v>
      </c>
      <c r="D160">
        <v>2.0009999275207502</v>
      </c>
      <c r="E160">
        <v>273.70001220703102</v>
      </c>
      <c r="F160">
        <v>6723</v>
      </c>
      <c r="G160">
        <v>6564</v>
      </c>
      <c r="H160">
        <v>159</v>
      </c>
      <c r="I160">
        <v>6649</v>
      </c>
      <c r="J160">
        <v>37.299999237060497</v>
      </c>
      <c r="K160">
        <v>558</v>
      </c>
      <c r="L160">
        <v>558</v>
      </c>
      <c r="M160">
        <v>0</v>
      </c>
      <c r="N160">
        <v>36.300998687744098</v>
      </c>
      <c r="O160" s="1">
        <v>3585719</v>
      </c>
      <c r="P160">
        <v>10</v>
      </c>
      <c r="Q160">
        <v>551</v>
      </c>
      <c r="R160">
        <v>2</v>
      </c>
      <c r="S160" s="2">
        <v>201189923.27399999</v>
      </c>
      <c r="T160" s="2">
        <v>177173920.35100001</v>
      </c>
      <c r="U160" s="2">
        <v>24016002.923</v>
      </c>
      <c r="V160" s="2">
        <v>18280898.794</v>
      </c>
      <c r="W160">
        <v>58</v>
      </c>
      <c r="X160">
        <v>8</v>
      </c>
      <c r="Y160">
        <v>23</v>
      </c>
      <c r="Z160">
        <v>11</v>
      </c>
      <c r="AA160">
        <v>0.37000000476837203</v>
      </c>
      <c r="AB160">
        <v>2</v>
      </c>
      <c r="AC160">
        <v>6</v>
      </c>
      <c r="AD160">
        <v>3081</v>
      </c>
      <c r="AE160">
        <v>1</v>
      </c>
      <c r="AF160">
        <v>5.0999999046325604</v>
      </c>
      <c r="AG160">
        <v>100</v>
      </c>
      <c r="AH160">
        <v>0</v>
      </c>
      <c r="AI160">
        <v>0</v>
      </c>
      <c r="AJ160">
        <v>944968064</v>
      </c>
      <c r="AK160">
        <v>7980916</v>
      </c>
      <c r="AL160">
        <v>10794327</v>
      </c>
      <c r="AM160">
        <v>628614528</v>
      </c>
      <c r="AN160">
        <v>546854912</v>
      </c>
      <c r="AO160">
        <v>129408</v>
      </c>
      <c r="AP160">
        <v>151.80000000000001</v>
      </c>
      <c r="AQ160">
        <v>1</v>
      </c>
      <c r="AR160">
        <f t="shared" si="2"/>
        <v>75862.071713356359</v>
      </c>
    </row>
    <row r="161" spans="1:44" x14ac:dyDescent="0.3">
      <c r="A161">
        <v>2007</v>
      </c>
      <c r="B161" t="s">
        <v>59</v>
      </c>
      <c r="C161">
        <v>20256</v>
      </c>
      <c r="D161">
        <v>2.0120000839233301</v>
      </c>
      <c r="E161">
        <v>1.0740000009536701</v>
      </c>
      <c r="F161">
        <v>6643</v>
      </c>
      <c r="G161">
        <v>6483</v>
      </c>
      <c r="H161">
        <v>160</v>
      </c>
      <c r="I161">
        <f>AVERAGE(I158:I160,I162:I163,I165,I167)</f>
        <v>5571.5357142857147</v>
      </c>
      <c r="J161">
        <v>37.400001525878899</v>
      </c>
      <c r="K161">
        <v>558</v>
      </c>
      <c r="L161">
        <v>558</v>
      </c>
      <c r="M161">
        <v>0</v>
      </c>
      <c r="N161">
        <v>36.300998687744098</v>
      </c>
      <c r="O161" s="1">
        <v>3606353</v>
      </c>
      <c r="P161">
        <v>10</v>
      </c>
      <c r="Q161">
        <v>551</v>
      </c>
      <c r="R161">
        <v>2</v>
      </c>
      <c r="S161" s="2">
        <v>210532775.035</v>
      </c>
      <c r="T161" s="2">
        <v>192267563.111</v>
      </c>
      <c r="U161" s="2">
        <v>18265211.923999999</v>
      </c>
      <c r="V161" s="2">
        <v>15417438.286</v>
      </c>
      <c r="W161">
        <v>58</v>
      </c>
      <c r="X161">
        <v>9</v>
      </c>
      <c r="Y161">
        <v>22</v>
      </c>
      <c r="Z161">
        <v>11</v>
      </c>
      <c r="AA161">
        <v>1</v>
      </c>
      <c r="AB161">
        <v>2</v>
      </c>
      <c r="AC161">
        <v>6</v>
      </c>
      <c r="AD161">
        <v>3092</v>
      </c>
      <c r="AE161">
        <v>1</v>
      </c>
      <c r="AF161">
        <v>5.0999999046325604</v>
      </c>
      <c r="AG161">
        <v>100</v>
      </c>
      <c r="AH161">
        <v>0</v>
      </c>
      <c r="AI161">
        <v>0</v>
      </c>
      <c r="AJ161">
        <v>979620736</v>
      </c>
      <c r="AK161">
        <v>8281716</v>
      </c>
      <c r="AL161">
        <v>11012057</v>
      </c>
      <c r="AM161">
        <v>672965760</v>
      </c>
      <c r="AN161">
        <v>584091200</v>
      </c>
      <c r="AO161">
        <v>105481</v>
      </c>
      <c r="AP161">
        <v>152.69999999999999</v>
      </c>
      <c r="AQ161">
        <v>1</v>
      </c>
      <c r="AR161">
        <f t="shared" si="2"/>
        <v>75894.629041088469</v>
      </c>
    </row>
    <row r="162" spans="1:44" x14ac:dyDescent="0.3">
      <c r="A162">
        <v>2008</v>
      </c>
      <c r="B162" t="s">
        <v>59</v>
      </c>
      <c r="C162">
        <v>20256</v>
      </c>
      <c r="D162">
        <v>2.0179998874664302</v>
      </c>
      <c r="E162">
        <v>1.10699999332427</v>
      </c>
      <c r="F162">
        <v>6733</v>
      </c>
      <c r="G162">
        <v>6574</v>
      </c>
      <c r="H162">
        <v>159</v>
      </c>
      <c r="I162">
        <v>6660</v>
      </c>
      <c r="J162">
        <v>37</v>
      </c>
      <c r="K162">
        <v>558</v>
      </c>
      <c r="L162">
        <v>558</v>
      </c>
      <c r="M162">
        <v>0</v>
      </c>
      <c r="N162">
        <v>36.300998687744098</v>
      </c>
      <c r="O162" s="1">
        <v>3616796</v>
      </c>
      <c r="P162">
        <v>10</v>
      </c>
      <c r="Q162">
        <v>551</v>
      </c>
      <c r="R162">
        <v>2</v>
      </c>
      <c r="S162">
        <v>222403328</v>
      </c>
      <c r="T162" s="2">
        <v>203801025.294</v>
      </c>
      <c r="U162" s="2">
        <v>18602309.846000001</v>
      </c>
      <c r="V162" s="2">
        <v>16474046.973999999</v>
      </c>
      <c r="W162">
        <v>59</v>
      </c>
      <c r="X162">
        <v>10</v>
      </c>
      <c r="Y162">
        <v>19</v>
      </c>
      <c r="Z162">
        <v>12</v>
      </c>
      <c r="AA162">
        <v>0.69999998807907104</v>
      </c>
      <c r="AB162">
        <v>2</v>
      </c>
      <c r="AC162">
        <v>6</v>
      </c>
      <c r="AD162">
        <v>3054</v>
      </c>
      <c r="AE162">
        <v>1</v>
      </c>
      <c r="AF162">
        <v>5.0999999046325604</v>
      </c>
      <c r="AG162">
        <v>100</v>
      </c>
      <c r="AH162">
        <v>0</v>
      </c>
      <c r="AI162">
        <v>0</v>
      </c>
      <c r="AJ162">
        <v>1067053120</v>
      </c>
      <c r="AK162">
        <v>8381128</v>
      </c>
      <c r="AL162">
        <v>11514078</v>
      </c>
      <c r="AM162">
        <v>760981632</v>
      </c>
      <c r="AN162">
        <v>662023744</v>
      </c>
      <c r="AO162">
        <v>110108</v>
      </c>
      <c r="AP162">
        <v>174.1</v>
      </c>
      <c r="AQ162">
        <v>2</v>
      </c>
      <c r="AR162">
        <f t="shared" si="2"/>
        <v>86273.542967626243</v>
      </c>
    </row>
    <row r="163" spans="1:44" x14ac:dyDescent="0.3">
      <c r="A163">
        <v>2010</v>
      </c>
      <c r="B163" t="s">
        <v>59</v>
      </c>
      <c r="C163">
        <v>20256</v>
      </c>
      <c r="D163">
        <v>2.0299999713897701</v>
      </c>
      <c r="E163">
        <v>1.15999996662139</v>
      </c>
      <c r="F163">
        <v>6568</v>
      </c>
      <c r="G163">
        <v>6403</v>
      </c>
      <c r="H163">
        <v>165</v>
      </c>
      <c r="I163">
        <v>6486</v>
      </c>
      <c r="J163">
        <v>36.599998474121001</v>
      </c>
      <c r="K163">
        <v>557</v>
      </c>
      <c r="L163">
        <v>557</v>
      </c>
      <c r="M163">
        <f>AVERAGE(M158:M162,M164:M168)</f>
        <v>35.6</v>
      </c>
      <c r="N163">
        <v>36.366001129150298</v>
      </c>
      <c r="O163">
        <v>3643.94995117187</v>
      </c>
      <c r="P163">
        <v>24</v>
      </c>
      <c r="Q163">
        <v>557</v>
      </c>
      <c r="R163">
        <v>2</v>
      </c>
      <c r="S163" s="2">
        <v>201160439.26699999</v>
      </c>
      <c r="T163" s="2">
        <v>186472877.39500001</v>
      </c>
      <c r="U163" s="2">
        <v>14687561.872</v>
      </c>
      <c r="V163" s="2">
        <v>14068437.301000001</v>
      </c>
      <c r="W163">
        <v>64</v>
      </c>
      <c r="X163">
        <v>10</v>
      </c>
      <c r="Y163">
        <v>17</v>
      </c>
      <c r="Z163">
        <v>9</v>
      </c>
      <c r="AA163">
        <f>AVERAGE(AA161:AA162,AA164,AA166:AA168)</f>
        <v>0.50833333532015479</v>
      </c>
      <c r="AB163">
        <v>2</v>
      </c>
      <c r="AC163">
        <v>6</v>
      </c>
      <c r="AD163">
        <v>2799</v>
      </c>
      <c r="AE163">
        <v>1</v>
      </c>
      <c r="AF163">
        <v>5</v>
      </c>
      <c r="AG163">
        <v>100</v>
      </c>
      <c r="AH163">
        <v>0</v>
      </c>
      <c r="AI163">
        <v>0</v>
      </c>
      <c r="AJ163">
        <v>1009823296</v>
      </c>
      <c r="AK163">
        <v>6948993</v>
      </c>
      <c r="AL163">
        <v>10747227</v>
      </c>
      <c r="AM163">
        <v>721837440</v>
      </c>
      <c r="AN163">
        <v>644348416</v>
      </c>
      <c r="AO163">
        <v>80023</v>
      </c>
      <c r="AP163">
        <v>174</v>
      </c>
      <c r="AQ163">
        <v>2</v>
      </c>
      <c r="AR163">
        <f t="shared" si="2"/>
        <v>85714.286922317959</v>
      </c>
    </row>
    <row r="164" spans="1:44" x14ac:dyDescent="0.3">
      <c r="A164">
        <v>2011</v>
      </c>
      <c r="B164" t="s">
        <v>59</v>
      </c>
      <c r="C164">
        <v>20256</v>
      </c>
      <c r="D164">
        <v>2.03500008583068</v>
      </c>
      <c r="E164">
        <v>1.18700003623962</v>
      </c>
      <c r="F164">
        <v>6505</v>
      </c>
      <c r="G164">
        <v>6344</v>
      </c>
      <c r="H164">
        <v>161</v>
      </c>
      <c r="I164">
        <f>AVERAGE(I158:I160,I162:I163,I165,I167)</f>
        <v>5571.5357142857147</v>
      </c>
      <c r="J164">
        <v>36.299999237060497</v>
      </c>
      <c r="K164">
        <v>556</v>
      </c>
      <c r="L164">
        <v>555</v>
      </c>
      <c r="M164">
        <v>1</v>
      </c>
      <c r="N164">
        <v>36.431999206542898</v>
      </c>
      <c r="O164" s="1">
        <v>3660094</v>
      </c>
      <c r="P164">
        <v>24</v>
      </c>
      <c r="Q164">
        <v>555</v>
      </c>
      <c r="R164">
        <v>4</v>
      </c>
      <c r="S164" s="2">
        <v>200808383.31900001</v>
      </c>
      <c r="T164" s="2">
        <v>183332604.88600001</v>
      </c>
      <c r="U164" s="2">
        <v>17475778.432999998</v>
      </c>
      <c r="V164" s="2">
        <v>7464362.2580000004</v>
      </c>
      <c r="W164">
        <v>66.800003051757798</v>
      </c>
      <c r="X164">
        <v>10</v>
      </c>
      <c r="Y164">
        <v>15.399999618530201</v>
      </c>
      <c r="Z164">
        <v>7.8000001907348597</v>
      </c>
      <c r="AA164">
        <v>0.30000001192092901</v>
      </c>
      <c r="AB164">
        <v>1</v>
      </c>
      <c r="AC164">
        <v>5</v>
      </c>
      <c r="AD164">
        <v>2608</v>
      </c>
      <c r="AE164">
        <v>1</v>
      </c>
      <c r="AF164">
        <v>6</v>
      </c>
      <c r="AG164">
        <v>99.830001831054602</v>
      </c>
      <c r="AH164">
        <v>0.17000000178813901</v>
      </c>
      <c r="AI164">
        <v>0</v>
      </c>
      <c r="AJ164">
        <v>1013027264</v>
      </c>
      <c r="AK164">
        <v>7577738</v>
      </c>
      <c r="AL164">
        <v>10189808</v>
      </c>
      <c r="AM164">
        <v>729858304</v>
      </c>
      <c r="AN164">
        <v>651380672</v>
      </c>
      <c r="AO164">
        <v>71114</v>
      </c>
      <c r="AP164">
        <v>183</v>
      </c>
      <c r="AQ164">
        <v>2</v>
      </c>
      <c r="AR164">
        <f t="shared" si="2"/>
        <v>89926.286133447516</v>
      </c>
    </row>
    <row r="165" spans="1:44" x14ac:dyDescent="0.3">
      <c r="A165">
        <v>2013</v>
      </c>
      <c r="B165" t="s">
        <v>59</v>
      </c>
      <c r="C165">
        <v>20256</v>
      </c>
      <c r="D165">
        <v>2.07200002670288</v>
      </c>
      <c r="E165">
        <v>1.11699998378753</v>
      </c>
      <c r="F165">
        <v>6095</v>
      </c>
      <c r="G165">
        <v>5892</v>
      </c>
      <c r="H165">
        <v>203</v>
      </c>
      <c r="I165">
        <v>5994</v>
      </c>
      <c r="J165">
        <v>36.700000762939403</v>
      </c>
      <c r="K165">
        <v>556</v>
      </c>
      <c r="L165">
        <v>528</v>
      </c>
      <c r="M165">
        <v>28</v>
      </c>
      <c r="N165">
        <v>36.431999206542898</v>
      </c>
      <c r="O165" s="1">
        <v>3726613</v>
      </c>
      <c r="P165">
        <v>24</v>
      </c>
      <c r="Q165">
        <v>556</v>
      </c>
      <c r="R165">
        <v>4</v>
      </c>
      <c r="S165" s="2">
        <v>192750171.889</v>
      </c>
      <c r="T165" s="2">
        <v>190631126.23100001</v>
      </c>
      <c r="U165" s="2">
        <v>2119045.6579999998</v>
      </c>
      <c r="V165" s="2">
        <v>-14979672.336999999</v>
      </c>
      <c r="W165">
        <v>55.5</v>
      </c>
      <c r="X165">
        <v>11.399999618530201</v>
      </c>
      <c r="Y165">
        <v>14.5</v>
      </c>
      <c r="Z165">
        <v>18.600000381469702</v>
      </c>
      <c r="AA165">
        <f>AVERAGE(AA161:AA162,AA164,AA166:AA168)</f>
        <v>0.50833333532015479</v>
      </c>
      <c r="AB165">
        <v>1</v>
      </c>
      <c r="AC165">
        <v>5</v>
      </c>
      <c r="AD165">
        <v>2322</v>
      </c>
      <c r="AE165">
        <v>1</v>
      </c>
      <c r="AF165">
        <v>5.5</v>
      </c>
      <c r="AG165">
        <v>99.959999084472599</v>
      </c>
      <c r="AH165">
        <v>3.9999999105930301E-2</v>
      </c>
      <c r="AI165">
        <v>0</v>
      </c>
      <c r="AJ165">
        <v>875260864</v>
      </c>
      <c r="AK165">
        <v>6726364</v>
      </c>
      <c r="AL165">
        <v>10716975</v>
      </c>
      <c r="AM165">
        <v>639688896</v>
      </c>
      <c r="AN165">
        <v>574306496</v>
      </c>
      <c r="AO165">
        <v>75340</v>
      </c>
      <c r="AP165">
        <v>62.55</v>
      </c>
      <c r="AQ165">
        <v>0</v>
      </c>
      <c r="AR165">
        <f t="shared" si="2"/>
        <v>30188.223549173497</v>
      </c>
    </row>
    <row r="166" spans="1:44" x14ac:dyDescent="0.3">
      <c r="A166">
        <v>2014</v>
      </c>
      <c r="B166" t="s">
        <v>59</v>
      </c>
      <c r="C166">
        <v>20256</v>
      </c>
      <c r="D166">
        <v>2.04900002479553</v>
      </c>
      <c r="E166">
        <v>1.192999958992</v>
      </c>
      <c r="F166">
        <v>5968</v>
      </c>
      <c r="G166">
        <v>5760</v>
      </c>
      <c r="H166">
        <v>208</v>
      </c>
      <c r="I166">
        <f>AVERAGE(I158:I160,I162:I163,I165,I167)</f>
        <v>5571.5357142857147</v>
      </c>
      <c r="J166">
        <v>36</v>
      </c>
      <c r="K166">
        <v>528</v>
      </c>
      <c r="L166">
        <v>457</v>
      </c>
      <c r="M166">
        <v>71</v>
      </c>
      <c r="N166">
        <v>38.363998413085902</v>
      </c>
      <c r="O166" s="1">
        <v>3879818</v>
      </c>
      <c r="P166">
        <v>24</v>
      </c>
      <c r="Q166">
        <v>556</v>
      </c>
      <c r="R166">
        <v>4</v>
      </c>
      <c r="S166" s="2">
        <v>181685687.34299999</v>
      </c>
      <c r="T166" s="2">
        <v>175377961.442</v>
      </c>
      <c r="U166" s="2">
        <v>6307725.9009999996</v>
      </c>
      <c r="V166" s="2">
        <v>5945398.9939999999</v>
      </c>
      <c r="W166">
        <v>56.799999237060497</v>
      </c>
      <c r="X166">
        <v>12.1000003814697</v>
      </c>
      <c r="Y166">
        <v>12.5</v>
      </c>
      <c r="Z166">
        <v>18.600000381469702</v>
      </c>
      <c r="AA166">
        <v>0.37999999523162797</v>
      </c>
      <c r="AB166">
        <v>1</v>
      </c>
      <c r="AC166">
        <v>5</v>
      </c>
      <c r="AD166">
        <v>2330</v>
      </c>
      <c r="AE166">
        <v>1</v>
      </c>
      <c r="AF166">
        <v>5.5</v>
      </c>
      <c r="AG166">
        <v>99.959999084472599</v>
      </c>
      <c r="AH166">
        <v>3.9999999105930301E-2</v>
      </c>
      <c r="AI166">
        <v>0</v>
      </c>
      <c r="AJ166">
        <v>878880576</v>
      </c>
      <c r="AK166">
        <v>7697038</v>
      </c>
      <c r="AL166">
        <v>12525783</v>
      </c>
      <c r="AM166">
        <v>649416320</v>
      </c>
      <c r="AN166">
        <v>582648384</v>
      </c>
      <c r="AO166">
        <v>81816</v>
      </c>
      <c r="AP166">
        <v>66</v>
      </c>
      <c r="AQ166">
        <v>0</v>
      </c>
      <c r="AR166">
        <f t="shared" si="2"/>
        <v>32210.834163648266</v>
      </c>
    </row>
    <row r="167" spans="1:44" x14ac:dyDescent="0.3">
      <c r="A167">
        <v>2015</v>
      </c>
      <c r="B167" t="s">
        <v>59</v>
      </c>
      <c r="C167">
        <v>20256</v>
      </c>
      <c r="D167">
        <v>2.0680000782012899</v>
      </c>
      <c r="E167">
        <v>1.2699999809265099</v>
      </c>
      <c r="F167">
        <v>5831</v>
      </c>
      <c r="G167">
        <v>5640</v>
      </c>
      <c r="H167">
        <v>191</v>
      </c>
      <c r="I167">
        <v>554</v>
      </c>
      <c r="J167">
        <v>35</v>
      </c>
      <c r="K167">
        <v>526</v>
      </c>
      <c r="L167">
        <v>416</v>
      </c>
      <c r="M167">
        <v>110</v>
      </c>
      <c r="N167">
        <v>38.509998321533203</v>
      </c>
      <c r="O167" s="1">
        <v>3930658</v>
      </c>
      <c r="P167">
        <v>24</v>
      </c>
      <c r="Q167">
        <v>554</v>
      </c>
      <c r="R167">
        <v>4</v>
      </c>
      <c r="S167" s="2">
        <v>169003862.99200001</v>
      </c>
      <c r="T167" s="2">
        <v>162382766.14199999</v>
      </c>
      <c r="U167">
        <v>6621097</v>
      </c>
      <c r="V167" s="2">
        <v>7112679.5279999999</v>
      </c>
      <c r="W167">
        <v>55.799999237060497</v>
      </c>
      <c r="X167">
        <v>12.899999618530201</v>
      </c>
      <c r="Y167">
        <v>11.199999809265099</v>
      </c>
      <c r="Z167">
        <v>20.100000381469702</v>
      </c>
      <c r="AA167">
        <v>0.33000001311302202</v>
      </c>
      <c r="AB167">
        <v>1</v>
      </c>
      <c r="AC167">
        <v>5</v>
      </c>
      <c r="AD167">
        <v>2322</v>
      </c>
      <c r="AE167">
        <v>1</v>
      </c>
      <c r="AF167">
        <v>5.5</v>
      </c>
      <c r="AG167">
        <v>99.959999084472599</v>
      </c>
      <c r="AH167">
        <v>3.9999999105930301E-2</v>
      </c>
      <c r="AI167">
        <v>0</v>
      </c>
      <c r="AJ167">
        <v>883148096</v>
      </c>
      <c r="AK167">
        <v>6829536</v>
      </c>
      <c r="AL167">
        <v>13085074</v>
      </c>
      <c r="AM167">
        <v>675043392</v>
      </c>
      <c r="AN167">
        <v>609597824</v>
      </c>
      <c r="AO167">
        <v>7221732</v>
      </c>
      <c r="AP167">
        <v>64.959999999999994</v>
      </c>
      <c r="AQ167">
        <v>1</v>
      </c>
      <c r="AR167">
        <f t="shared" si="2"/>
        <v>31411.991075213624</v>
      </c>
    </row>
    <row r="168" spans="1:44" x14ac:dyDescent="0.3">
      <c r="A168">
        <v>2016</v>
      </c>
      <c r="B168" t="s">
        <v>59</v>
      </c>
      <c r="C168">
        <v>20256</v>
      </c>
      <c r="D168">
        <v>2.0780000686645499</v>
      </c>
      <c r="E168">
        <v>1.2799999713897701</v>
      </c>
      <c r="F168">
        <v>5510</v>
      </c>
      <c r="G168">
        <v>5369</v>
      </c>
      <c r="H168">
        <v>141</v>
      </c>
      <c r="I168">
        <f>AVERAGE(I158:I160,I162:I163,I165,I167)</f>
        <v>5571.5357142857147</v>
      </c>
      <c r="J168">
        <v>35.299999237060497</v>
      </c>
      <c r="K168">
        <v>501</v>
      </c>
      <c r="L168">
        <v>355</v>
      </c>
      <c r="M168">
        <v>146</v>
      </c>
      <c r="N168">
        <v>40.430999755859297</v>
      </c>
      <c r="O168" s="1">
        <v>4147429</v>
      </c>
      <c r="P168">
        <v>24</v>
      </c>
      <c r="Q168">
        <v>525</v>
      </c>
      <c r="R168">
        <v>2</v>
      </c>
      <c r="S168" s="2">
        <v>168427115.625</v>
      </c>
      <c r="T168" s="2">
        <v>161708805.46900001</v>
      </c>
      <c r="U168" s="2">
        <v>6718310.1560000004</v>
      </c>
      <c r="V168" s="2">
        <v>6439357.0310000004</v>
      </c>
      <c r="W168">
        <v>56.5</v>
      </c>
      <c r="X168">
        <v>14</v>
      </c>
      <c r="Y168">
        <v>10.300000190734799</v>
      </c>
      <c r="Z168">
        <v>19.2000007629394</v>
      </c>
      <c r="AA168">
        <v>0.34000000357627902</v>
      </c>
      <c r="AB168">
        <v>1</v>
      </c>
      <c r="AC168">
        <v>5</v>
      </c>
      <c r="AD168">
        <v>2293</v>
      </c>
      <c r="AE168">
        <v>1</v>
      </c>
      <c r="AF168">
        <v>5</v>
      </c>
      <c r="AG168">
        <v>99.959999084472599</v>
      </c>
      <c r="AH168">
        <v>3.9999999105930301E-2</v>
      </c>
      <c r="AI168">
        <v>0</v>
      </c>
      <c r="AJ168">
        <v>863829440</v>
      </c>
      <c r="AK168">
        <v>6335940</v>
      </c>
      <c r="AL168">
        <v>11824688</v>
      </c>
      <c r="AM168">
        <v>635697408</v>
      </c>
      <c r="AN168">
        <v>598132736</v>
      </c>
      <c r="AO168">
        <v>7757548</v>
      </c>
      <c r="AP168">
        <v>63.99</v>
      </c>
      <c r="AQ168">
        <v>1</v>
      </c>
      <c r="AR168">
        <f t="shared" si="2"/>
        <v>30794.031706227946</v>
      </c>
    </row>
    <row r="169" spans="1:44" x14ac:dyDescent="0.3">
      <c r="A169">
        <v>2004</v>
      </c>
      <c r="B169" t="s">
        <v>60</v>
      </c>
      <c r="C169">
        <v>505992</v>
      </c>
      <c r="D169">
        <v>42.794998168945298</v>
      </c>
      <c r="E169">
        <v>1.1399999856948799</v>
      </c>
      <c r="F169">
        <v>59881</v>
      </c>
      <c r="G169">
        <v>56137</v>
      </c>
      <c r="H169">
        <v>3744</v>
      </c>
      <c r="I169">
        <v>58890</v>
      </c>
      <c r="J169">
        <v>39.810001373291001</v>
      </c>
      <c r="K169">
        <v>3291</v>
      </c>
      <c r="L169">
        <v>3291</v>
      </c>
      <c r="M169">
        <v>0</v>
      </c>
      <c r="N169">
        <v>153.75</v>
      </c>
      <c r="O169" s="1">
        <v>13003782</v>
      </c>
      <c r="P169">
        <v>6653</v>
      </c>
      <c r="Q169">
        <v>1806</v>
      </c>
      <c r="R169">
        <v>63</v>
      </c>
      <c r="S169" s="2">
        <v>1644945410.293</v>
      </c>
      <c r="T169" s="2">
        <v>1479201557.6760001</v>
      </c>
      <c r="U169" s="2">
        <v>165743852.61700001</v>
      </c>
      <c r="V169" s="2">
        <v>70546576.796000004</v>
      </c>
      <c r="W169">
        <v>85.830001831054602</v>
      </c>
      <c r="X169">
        <v>2.63000011444091</v>
      </c>
      <c r="Y169">
        <v>1.4800000190734801</v>
      </c>
      <c r="Z169">
        <v>10.0600004196166</v>
      </c>
      <c r="AA169">
        <v>1.7799999713897701</v>
      </c>
      <c r="AB169">
        <v>2</v>
      </c>
      <c r="AC169">
        <v>6</v>
      </c>
      <c r="AD169">
        <v>33063</v>
      </c>
      <c r="AE169">
        <v>1</v>
      </c>
      <c r="AF169">
        <v>5</v>
      </c>
      <c r="AG169">
        <v>99.699996948242102</v>
      </c>
      <c r="AH169">
        <v>0.30000001192092901</v>
      </c>
      <c r="AI169">
        <v>0</v>
      </c>
      <c r="AJ169">
        <v>5177949696</v>
      </c>
      <c r="AK169">
        <v>221816880</v>
      </c>
      <c r="AL169">
        <v>139785744</v>
      </c>
      <c r="AM169">
        <v>1135282688</v>
      </c>
      <c r="AN169">
        <v>30871746</v>
      </c>
      <c r="AO169">
        <v>21913750</v>
      </c>
      <c r="AP169">
        <v>1854.7</v>
      </c>
      <c r="AQ169">
        <v>2</v>
      </c>
      <c r="AR169">
        <f t="shared" si="2"/>
        <v>43339.176991620603</v>
      </c>
    </row>
  </sheetData>
  <sortState xmlns:xlrd2="http://schemas.microsoft.com/office/spreadsheetml/2017/richdata2" ref="A2:AQ169">
    <sortCondition ref="B78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Alexandra</cp:lastModifiedBy>
  <dcterms:created xsi:type="dcterms:W3CDTF">2020-03-25T10:50:08Z</dcterms:created>
  <dcterms:modified xsi:type="dcterms:W3CDTF">2020-06-02T12:49:42Z</dcterms:modified>
</cp:coreProperties>
</file>